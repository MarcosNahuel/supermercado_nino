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ctura Costos" sheetId="1" state="visible" r:id="rId1"/>
    <sheet xmlns:r="http://schemas.openxmlformats.org/officeDocument/2006/relationships" name="Ventas Mensuales" sheetId="2" state="visible" r:id="rId2"/>
    <sheet xmlns:r="http://schemas.openxmlformats.org/officeDocument/2006/relationships" name="Productos" sheetId="3" state="visible" r:id="rId3"/>
    <sheet xmlns:r="http://schemas.openxmlformats.org/officeDocument/2006/relationships" name="Costeo Recetas" sheetId="4" state="visible" r:id="rId4"/>
    <sheet xmlns:r="http://schemas.openxmlformats.org/officeDocument/2006/relationships" name="Sensibiliz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96600"/>
      <sz val="9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color rgb="00666666"/>
      <sz val="9"/>
    </font>
    <font>
      <name val="Calibri"/>
      <b val="1"/>
      <color rgb="00006600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1" pivotButton="0" quotePrefix="0" xfId="0"/>
    <xf numFmtId="0" fontId="6" fillId="6" borderId="1" pivotButton="0" quotePrefix="0" xfId="0"/>
    <xf numFmtId="3" fontId="6" fillId="6" borderId="1" applyAlignment="1" pivotButton="0" quotePrefix="0" xfId="0">
      <alignment horizontal="right"/>
    </xf>
    <xf numFmtId="164" fontId="6" fillId="6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0" fontId="6" fillId="7" borderId="1" pivotButton="0" quotePrefix="0" xfId="0"/>
    <xf numFmtId="164" fontId="5" fillId="0" borderId="1" applyAlignment="1" pivotButton="0" quotePrefix="0" xfId="0">
      <alignment horizontal="right"/>
    </xf>
    <xf numFmtId="0" fontId="6" fillId="8" borderId="1" pivotButton="0" quotePrefix="0" xfId="0"/>
    <xf numFmtId="3" fontId="6" fillId="8" borderId="1" applyAlignment="1" pivotButton="0" quotePrefix="0" xfId="0">
      <alignment horizontal="right"/>
    </xf>
    <xf numFmtId="164" fontId="6" fillId="8" borderId="1" applyAlignment="1" pivotButton="0" quotePrefix="0" xfId="0">
      <alignment horizontal="right"/>
    </xf>
    <xf numFmtId="0" fontId="5" fillId="8" borderId="1" pivotButton="0" quotePrefix="0" xfId="0"/>
    <xf numFmtId="3" fontId="5" fillId="8" borderId="1" applyAlignment="1" pivotButton="0" quotePrefix="0" xfId="0">
      <alignment horizontal="right"/>
    </xf>
    <xf numFmtId="164" fontId="5" fillId="8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10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8" fillId="5" borderId="1" pivotButton="0" quotePrefix="0" xfId="0"/>
    <xf numFmtId="3" fontId="8" fillId="5" borderId="1" applyAlignment="1" pivotButton="0" quotePrefix="0" xfId="0">
      <alignment horizontal="right"/>
    </xf>
    <xf numFmtId="164" fontId="8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5" borderId="1" pivotButton="0" quotePrefix="0" xfId="0"/>
    <xf numFmtId="3" fontId="5" fillId="5" borderId="1" applyAlignment="1" pivotButton="0" quotePrefix="0" xfId="0">
      <alignment horizontal="right"/>
    </xf>
    <xf numFmtId="0" fontId="6" fillId="3" borderId="1" pivotButton="0" quotePrefix="0" xfId="0"/>
    <xf numFmtId="3" fontId="6" fillId="3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14" customWidth="1" min="3" max="3"/>
    <col width="14" customWidth="1" min="4" max="4"/>
    <col width="42" customWidth="1" min="5" max="5"/>
  </cols>
  <sheetData>
    <row r="1">
      <c r="A1" s="1" t="inlineStr">
        <is>
          <t>ESTRUCTURA DE COSTOS - PANADERIA NINO (BOSIN S.A.) - ELABORACION PROPIA</t>
        </is>
      </c>
    </row>
    <row r="2">
      <c r="A2" s="2" t="inlineStr">
        <is>
          <t>Base: ultimos 31 dias (01/03/2026 - 31/03/2026) desestacionalizado | Elaborado: Marzo 2026</t>
        </is>
      </c>
    </row>
    <row r="4">
      <c r="A4" s="3" t="inlineStr">
        <is>
          <t>1. VENTAS</t>
        </is>
      </c>
    </row>
    <row r="5">
      <c r="A5" s="4" t="inlineStr">
        <is>
          <t>Concepto</t>
        </is>
      </c>
      <c r="B5" s="4" t="inlineStr">
        <is>
          <t>Monto Mensual ($)</t>
        </is>
      </c>
      <c r="C5" s="4" t="inlineStr">
        <is>
          <t>% s/Ventas</t>
        </is>
      </c>
      <c r="D5" s="4" t="inlineStr">
        <is>
          <t>Tasa/Base</t>
        </is>
      </c>
      <c r="E5" s="4" t="inlineStr">
        <is>
          <t>Notas</t>
        </is>
      </c>
    </row>
    <row r="6">
      <c r="A6" s="5" t="inlineStr">
        <is>
          <t>VENTAS BRUTAS (con IVA)</t>
        </is>
      </c>
      <c r="B6" s="6">
        <f>B8*1.21</f>
        <v/>
      </c>
      <c r="C6" s="5" t="inlineStr"/>
      <c r="D6" s="5" t="inlineStr">
        <is>
          <t>121%</t>
        </is>
      </c>
      <c r="E6" s="5" t="inlineStr">
        <is>
          <t>Facturacion total IVA incluido</t>
        </is>
      </c>
    </row>
    <row r="7">
      <c r="A7" s="5" t="inlineStr">
        <is>
          <t>(-) IVA Debito Fiscal</t>
        </is>
      </c>
      <c r="B7" s="6">
        <f>-B8*0.21</f>
        <v/>
      </c>
      <c r="C7" s="5" t="inlineStr"/>
      <c r="D7" s="5" t="inlineStr">
        <is>
          <t>21%</t>
        </is>
      </c>
      <c r="E7" s="5" t="inlineStr">
        <is>
          <t>Se compensa con credito fiscal de compras</t>
        </is>
      </c>
    </row>
    <row r="8">
      <c r="A8" s="7" t="inlineStr">
        <is>
          <t>VENTAS NETAS (sin IVA)</t>
        </is>
      </c>
      <c r="B8" s="8" t="n">
        <v>21742317</v>
      </c>
      <c r="C8" s="7" t="inlineStr">
        <is>
          <t>100.0%</t>
        </is>
      </c>
      <c r="D8" s="7" t="inlineStr"/>
      <c r="E8" s="7" t="inlineStr">
        <is>
          <t>Base para todos los calculos - SOLO ELABORACION PROPIA</t>
        </is>
      </c>
    </row>
    <row r="9">
      <c r="A9" s="9" t="inlineStr">
        <is>
          <t xml:space="preserve">  Tickets promedio/mes: 9,621 | Ticket prom: $2,260</t>
        </is>
      </c>
      <c r="B9" s="9" t="inlineStr"/>
      <c r="C9" s="9" t="inlineStr"/>
      <c r="D9" s="9" t="inlineStr"/>
      <c r="E9" s="9" t="inlineStr"/>
    </row>
    <row r="10">
      <c r="A10" s="9" t="inlineStr">
        <is>
          <t xml:space="preserve">  Efectivo 45.4% | Debito 23.4% | Credito 13.9% | Billetera 14.5%</t>
        </is>
      </c>
      <c r="B10" s="9" t="inlineStr"/>
      <c r="C10" s="9" t="inlineStr"/>
      <c r="D10" s="9" t="inlineStr"/>
      <c r="E10" s="9" t="inlineStr"/>
    </row>
    <row r="12">
      <c r="A12" s="3" t="inlineStr">
        <is>
          <t>2. COSTO DE MERCADERIA VENDIDA (CMV)</t>
        </is>
      </c>
    </row>
    <row r="13">
      <c r="A13" s="4" t="inlineStr">
        <is>
          <t>Concepto</t>
        </is>
      </c>
      <c r="B13" s="4" t="inlineStr">
        <is>
          <t>Monto Mensual ($)</t>
        </is>
      </c>
      <c r="C13" s="4" t="inlineStr">
        <is>
          <t>% s/Ventas</t>
        </is>
      </c>
      <c r="D13" s="4" t="inlineStr">
        <is>
          <t>% del CMV</t>
        </is>
      </c>
      <c r="E13" s="4" t="inlineStr">
        <is>
          <t>Insumos principales</t>
        </is>
      </c>
    </row>
    <row r="14">
      <c r="A14" s="10" t="inlineStr">
        <is>
          <t>COSTO TOTAL INSUMOS</t>
        </is>
      </c>
      <c r="B14" s="11">
        <f>-B8*0.30000000000000004</f>
        <v/>
      </c>
      <c r="C14" s="12">
        <f>ABS(B14)/B8</f>
        <v/>
      </c>
      <c r="D14" s="10" t="inlineStr">
        <is>
          <t>100%</t>
        </is>
      </c>
      <c r="E14" s="10" t="inlineStr">
        <is>
          <t>Margen bruto 70% elab. propia (insumos baratos)</t>
        </is>
      </c>
    </row>
    <row r="15">
      <c r="A15" s="9" t="inlineStr">
        <is>
          <t xml:space="preserve">  Facturas y medialunas</t>
        </is>
      </c>
      <c r="B15" s="13" t="n">
        <v>-2354078</v>
      </c>
      <c r="C15" s="9" t="inlineStr">
        <is>
          <t>10.8%</t>
        </is>
      </c>
      <c r="D15" s="9" t="inlineStr">
        <is>
          <t>36%</t>
        </is>
      </c>
      <c r="E15" s="9" t="inlineStr">
        <is>
          <t>Harina, grasa/manteca, azucar, levadura, huevo</t>
        </is>
      </c>
    </row>
    <row r="16">
      <c r="A16" s="9" t="inlineStr">
        <is>
          <t xml:space="preserve">  Panes</t>
        </is>
      </c>
      <c r="B16" s="13" t="n">
        <v>-3204715</v>
      </c>
      <c r="C16" s="9" t="inlineStr">
        <is>
          <t>14.7%</t>
        </is>
      </c>
      <c r="D16" s="9" t="inlineStr">
        <is>
          <t>49%</t>
        </is>
      </c>
      <c r="E16" s="9" t="inlineStr">
        <is>
          <t>Harina, sal, levadura, agua, grasa</t>
        </is>
      </c>
    </row>
    <row r="17">
      <c r="A17" s="9" t="inlineStr">
        <is>
          <t xml:space="preserve">  Pre-pizzas y pizzetas</t>
        </is>
      </c>
      <c r="B17" s="13" t="n">
        <v>-453934</v>
      </c>
      <c r="C17" s="9" t="inlineStr">
        <is>
          <t>2.1%</t>
        </is>
      </c>
      <c r="D17" s="9" t="inlineStr">
        <is>
          <t>7%</t>
        </is>
      </c>
      <c r="E17" s="9" t="inlineStr">
        <is>
          <t>Harina, aceite, sal, levadura</t>
        </is>
      </c>
    </row>
    <row r="18">
      <c r="A18" s="9" t="inlineStr">
        <is>
          <t xml:space="preserve">  Bizcochuelos y dulces</t>
        </is>
      </c>
      <c r="B18" s="13" t="n">
        <v>-305946</v>
      </c>
      <c r="C18" s="9" t="inlineStr">
        <is>
          <t>1.4%</t>
        </is>
      </c>
      <c r="D18" s="9" t="inlineStr">
        <is>
          <t>5%</t>
        </is>
      </c>
      <c r="E18" s="9" t="inlineStr">
        <is>
          <t>Harina, huevos, azucar, manteca, dulce de leche</t>
        </is>
      </c>
    </row>
    <row r="19">
      <c r="A19" s="9" t="inlineStr">
        <is>
          <t xml:space="preserve">  Discos y tapas</t>
        </is>
      </c>
      <c r="B19" s="13" t="n">
        <v>-145480</v>
      </c>
      <c r="C19" s="9" t="inlineStr">
        <is>
          <t>0.7%</t>
        </is>
      </c>
      <c r="D19" s="9" t="inlineStr">
        <is>
          <t>2%</t>
        </is>
      </c>
      <c r="E19" s="9" t="inlineStr">
        <is>
          <t>Harina, grasa, sal, agua</t>
        </is>
      </c>
    </row>
    <row r="20">
      <c r="A20" s="9" t="inlineStr">
        <is>
          <t xml:space="preserve">  Pan rallado y derivados</t>
        </is>
      </c>
      <c r="B20" s="14" t="n">
        <v>0</v>
      </c>
      <c r="C20" s="9" t="inlineStr">
        <is>
          <t>0.0%</t>
        </is>
      </c>
      <c r="D20" s="9" t="inlineStr">
        <is>
          <t>0%</t>
        </is>
      </c>
      <c r="E20" s="9" t="inlineStr">
        <is>
          <t>Pan seco, procesamiento</t>
        </is>
      </c>
    </row>
    <row r="21">
      <c r="A21" s="9" t="inlineStr">
        <is>
          <t xml:space="preserve">  Otros elaborados</t>
        </is>
      </c>
      <c r="B21" s="13" t="n">
        <v>-58543</v>
      </c>
      <c r="C21" s="9" t="inlineStr">
        <is>
          <t>0.3%</t>
        </is>
      </c>
      <c r="D21" s="9" t="inlineStr">
        <is>
          <t>1%</t>
        </is>
      </c>
      <c r="E21" s="9" t="inlineStr">
        <is>
          <t>Varios (masas, especialidades)</t>
        </is>
      </c>
    </row>
    <row r="22">
      <c r="A22" s="7" t="inlineStr">
        <is>
          <t>MARGEN BRUTO</t>
        </is>
      </c>
      <c r="B22" s="8">
        <f>B8+B14</f>
        <v/>
      </c>
      <c r="C22" s="15">
        <f>B22/B8</f>
        <v/>
      </c>
      <c r="D22" s="7" t="inlineStr"/>
      <c r="E22" s="7" t="inlineStr">
        <is>
          <t>Ventas - CMV</t>
        </is>
      </c>
    </row>
    <row r="23">
      <c r="A23" s="2" t="inlineStr">
        <is>
          <t xml:space="preserve">  Panaderia propia: margen alto porque insumos principales (harina, agua, sal) son baratos. Valor agregado es labor + horneado</t>
        </is>
      </c>
    </row>
    <row r="25">
      <c r="A25" s="3" t="inlineStr">
        <is>
          <t>3. COSTOS FIJOS</t>
        </is>
      </c>
    </row>
    <row r="26">
      <c r="A26" s="4" t="inlineStr">
        <is>
          <t>Concepto</t>
        </is>
      </c>
      <c r="B26" s="4" t="inlineStr">
        <is>
          <t>Monto Mensual ($)</t>
        </is>
      </c>
      <c r="C26" s="4" t="inlineStr">
        <is>
          <t>% s/Ventas</t>
        </is>
      </c>
      <c r="D26" s="4" t="inlineStr">
        <is>
          <t>Tasa/Base</t>
        </is>
      </c>
      <c r="E26" s="4" t="inlineStr">
        <is>
          <t>Notas</t>
        </is>
      </c>
    </row>
    <row r="27">
      <c r="A27" s="16" t="inlineStr">
        <is>
          <t>3.1 SUELDOS Y CARGAS SOCIALES</t>
        </is>
      </c>
      <c r="B27" s="16" t="inlineStr"/>
      <c r="C27" s="16" t="inlineStr"/>
      <c r="D27" s="16" t="inlineStr"/>
      <c r="E27" s="16" t="inlineStr"/>
    </row>
    <row r="28">
      <c r="A28" s="5" t="inlineStr">
        <is>
          <t>Sueldos brutos (3 empleados)</t>
        </is>
      </c>
      <c r="B28" s="6">
        <f>B29+B30</f>
        <v/>
      </c>
      <c r="C28" s="17">
        <f>ABS(B28)/B8</f>
        <v/>
      </c>
      <c r="D28" s="5" t="inlineStr">
        <is>
          <t>$1,180,274 c/u</t>
        </is>
      </c>
      <c r="E28" s="5" t="inlineStr">
        <is>
          <t>CCT 130/75 Aux.Esp.A (Mar 2026)</t>
        </is>
      </c>
    </row>
    <row r="29">
      <c r="A29" s="9" t="inlineStr">
        <is>
          <t xml:space="preserve">  - Remunerativo</t>
        </is>
      </c>
      <c r="B29" s="13" t="n">
        <v>-3240822</v>
      </c>
      <c r="C29" s="9" t="inlineStr"/>
      <c r="D29" s="9" t="inlineStr">
        <is>
          <t>$1,080,274 c/u</t>
        </is>
      </c>
      <c r="E29" s="9" t="inlineStr">
        <is>
          <t>Base contribuciones (F.930)</t>
        </is>
      </c>
    </row>
    <row r="30">
      <c r="A30" s="9" t="inlineStr">
        <is>
          <t xml:space="preserve">  - No Remunerativo</t>
        </is>
      </c>
      <c r="B30" s="13" t="n">
        <v>-300000</v>
      </c>
      <c r="C30" s="9" t="inlineStr"/>
      <c r="D30" s="9" t="inlineStr">
        <is>
          <t>$100,000 c/u</t>
        </is>
      </c>
      <c r="E30" s="9" t="inlineStr">
        <is>
          <t>No genera cargas patronales</t>
        </is>
      </c>
    </row>
    <row r="31">
      <c r="A31" s="5" t="inlineStr">
        <is>
          <t>Contribuciones patronales (F.930)</t>
        </is>
      </c>
      <c r="B31" s="6">
        <f>B29*0.2974</f>
        <v/>
      </c>
      <c r="C31" s="17">
        <f>ABS(B31)/B8</f>
        <v/>
      </c>
      <c r="D31" s="5" t="inlineStr">
        <is>
          <t>29.74% s/rem</t>
        </is>
      </c>
      <c r="E31" s="5" t="inlineStr">
        <is>
          <t>Base: $3,240,822 (solo remunerativo)</t>
        </is>
      </c>
    </row>
    <row r="32">
      <c r="A32" s="9" t="inlineStr">
        <is>
          <t xml:space="preserve">  - Jubilacion (SIPA)</t>
        </is>
      </c>
      <c r="B32" s="13">
        <f>B29*0.1271</f>
        <v/>
      </c>
      <c r="C32" s="9" t="inlineStr"/>
      <c r="D32" s="9" t="inlineStr">
        <is>
          <t>12.71%</t>
        </is>
      </c>
      <c r="E32" s="9" t="inlineStr">
        <is>
          <t>Alicuota NO MiPyME servicios/comercio</t>
        </is>
      </c>
    </row>
    <row r="33">
      <c r="A33" s="9" t="inlineStr">
        <is>
          <t xml:space="preserve">  - PAMI (Ley 19.032)</t>
        </is>
      </c>
      <c r="B33" s="13">
        <f>B29*0.0158</f>
        <v/>
      </c>
      <c r="C33" s="9" t="inlineStr"/>
      <c r="D33" s="9" t="inlineStr">
        <is>
          <t>1.58%</t>
        </is>
      </c>
      <c r="E33" s="9" t="inlineStr"/>
    </row>
    <row r="34">
      <c r="A34" s="9" t="inlineStr">
        <is>
          <t xml:space="preserve">  - Asignaciones Familiares</t>
        </is>
      </c>
      <c r="B34" s="13">
        <f>B29*0.0556</f>
        <v/>
      </c>
      <c r="C34" s="9" t="inlineStr"/>
      <c r="D34" s="9" t="inlineStr">
        <is>
          <t>5.56%</t>
        </is>
      </c>
      <c r="E34" s="9" t="inlineStr"/>
    </row>
    <row r="35">
      <c r="A35" s="9" t="inlineStr">
        <is>
          <t xml:space="preserve">  - Fondo Nacional de Empleo</t>
        </is>
      </c>
      <c r="B35" s="13">
        <f>B29*0.0089</f>
        <v/>
      </c>
      <c r="C35" s="9" t="inlineStr"/>
      <c r="D35" s="9" t="inlineStr">
        <is>
          <t>0.89%</t>
        </is>
      </c>
      <c r="E35" s="9" t="inlineStr"/>
    </row>
    <row r="36">
      <c r="A36" s="9" t="inlineStr">
        <is>
          <t xml:space="preserve">  - Obra Social patronal</t>
        </is>
      </c>
      <c r="B36" s="13">
        <f>B29*0.06</f>
        <v/>
      </c>
      <c r="C36" s="9" t="inlineStr"/>
      <c r="D36" s="9" t="inlineStr">
        <is>
          <t>6.00%</t>
        </is>
      </c>
      <c r="E36" s="9" t="inlineStr"/>
    </row>
    <row r="37">
      <c r="A37" s="9" t="inlineStr">
        <is>
          <t xml:space="preserve">  - ART (estimado)</t>
        </is>
      </c>
      <c r="B37" s="13">
        <f>B29*0.03</f>
        <v/>
      </c>
      <c r="C37" s="9" t="inlineStr"/>
      <c r="D37" s="9" t="inlineStr">
        <is>
          <t>~3.00%</t>
        </is>
      </c>
      <c r="E37" s="9" t="inlineStr">
        <is>
          <t>Varia segun siniestralidad</t>
        </is>
      </c>
    </row>
    <row r="38">
      <c r="A38" s="5" t="inlineStr">
        <is>
          <t>SAC proporcional (1/12)</t>
        </is>
      </c>
      <c r="B38" s="6">
        <f>(B29+B31)/12</f>
        <v/>
      </c>
      <c r="C38" s="17">
        <f>ABS(B38)/B8</f>
        <v/>
      </c>
      <c r="D38" s="5" t="inlineStr"/>
      <c r="E38" s="5" t="inlineStr">
        <is>
          <t>Aguinaldo s/remunerativo + cargas</t>
        </is>
      </c>
    </row>
    <row r="39">
      <c r="A39" s="9" t="inlineStr">
        <is>
          <t>Seguro Vida Obligatorio</t>
        </is>
      </c>
      <c r="B39" s="13" t="n">
        <v>-1500</v>
      </c>
      <c r="C39" s="9" t="inlineStr"/>
      <c r="D39" s="9" t="inlineStr">
        <is>
          <t>~$500 c/u x 3</t>
        </is>
      </c>
      <c r="E39" s="9" t="inlineStr">
        <is>
          <t>Decreto 1567/74</t>
        </is>
      </c>
    </row>
    <row r="40">
      <c r="A40" s="18" t="inlineStr">
        <is>
          <t>SUBTOTAL LABORAL</t>
        </is>
      </c>
      <c r="B40" s="19">
        <f>B28+B31+B38+B39</f>
        <v/>
      </c>
      <c r="C40" s="20">
        <f>ABS(B40)/B8</f>
        <v/>
      </c>
      <c r="D40" s="18" t="inlineStr"/>
      <c r="E40" s="18" t="inlineStr"/>
    </row>
    <row r="42">
      <c r="A42" s="16" t="inlineStr">
        <is>
          <t>3.2 SERVICIOS (prorrateo panaderia)</t>
        </is>
      </c>
      <c r="B42" s="16" t="inlineStr"/>
      <c r="C42" s="16" t="inlineStr"/>
      <c r="D42" s="16" t="inlineStr"/>
      <c r="E42" s="16" t="inlineStr"/>
    </row>
    <row r="43">
      <c r="A43" s="5" t="inlineStr">
        <is>
          <t>Gas natural (1153 m3/mes)</t>
        </is>
      </c>
      <c r="B43" s="6" t="n">
        <v>-515550</v>
      </c>
      <c r="C43" s="17">
        <f>ABS(B43)/B8</f>
        <v/>
      </c>
      <c r="D43" s="5" t="inlineStr">
        <is>
          <t>$447/m3</t>
        </is>
      </c>
      <c r="E43" s="5" t="inlineStr">
        <is>
          <t>Prorrateo s/factura Ecogas Patricios 344 Feb 2026</t>
        </is>
      </c>
    </row>
    <row r="44">
      <c r="A44" s="9" t="inlineStr">
        <is>
          <t xml:space="preserve">  Factura: $664,000/1485m3. Panad 1153m3 (78%) + Rotis 332m3 (22%) = 100%</t>
        </is>
      </c>
      <c r="B44" s="9" t="inlineStr"/>
      <c r="C44" s="9" t="inlineStr"/>
      <c r="D44" s="9" t="inlineStr"/>
      <c r="E44" s="9" t="inlineStr"/>
    </row>
    <row r="45">
      <c r="A45" s="9" t="inlineStr">
        <is>
          <t xml:space="preserve">  Equipamiento: horno industrial rotativo + horno de piso, ~8-10h/dia continuo</t>
        </is>
      </c>
      <c r="B45" s="9" t="inlineStr"/>
      <c r="C45" s="9" t="inlineStr"/>
      <c r="D45" s="9" t="inlineStr"/>
      <c r="E45" s="9" t="inlineStr"/>
    </row>
    <row r="46">
      <c r="A46" s="5" t="inlineStr">
        <is>
          <t>Electricidad (1100 kWh/mes)</t>
        </is>
      </c>
      <c r="B46" s="6" t="n">
        <v>-402339</v>
      </c>
      <c r="C46" s="17">
        <f>ABS(B46)/B8</f>
        <v/>
      </c>
      <c r="D46" s="5" t="inlineStr">
        <is>
          <t>$366/kWh</t>
        </is>
      </c>
      <c r="E46" s="5" t="inlineStr">
        <is>
          <t>Prorrateo s/factura EDEMSA Patricios 334 Mar 2026</t>
        </is>
      </c>
    </row>
    <row r="47">
      <c r="A47" s="9" t="inlineStr">
        <is>
          <t xml:space="preserve">  Factura real: $3,463,771 / 9470 kWh = $366/kWh all-in (IVA 27% + imp.)</t>
        </is>
      </c>
      <c r="B47" s="9" t="inlineStr"/>
      <c r="C47" s="9" t="inlineStr"/>
      <c r="D47" s="9" t="inlineStr"/>
      <c r="E47" s="9" t="inlineStr"/>
    </row>
    <row r="48">
      <c r="A48" s="9" t="inlineStr">
        <is>
          <t xml:space="preserve">  Equipamiento: amasadora + sobadora + batidora + fermentadora + camara frio + iluminacion</t>
        </is>
      </c>
      <c r="B48" s="9" t="inlineStr"/>
      <c r="C48" s="9" t="inlineStr"/>
      <c r="D48" s="9" t="inlineStr"/>
      <c r="E48" s="9" t="inlineStr"/>
    </row>
    <row r="49">
      <c r="A49" s="18" t="inlineStr">
        <is>
          <t>SUBTOTAL SERVICIOS</t>
        </is>
      </c>
      <c r="B49" s="19">
        <f>B43+B46</f>
        <v/>
      </c>
      <c r="C49" s="20">
        <f>ABS(B49)/B8</f>
        <v/>
      </c>
      <c r="D49" s="18" t="inlineStr"/>
      <c r="E49" s="18" t="inlineStr">
        <is>
          <t>Basado en facturas reales Feb-Mar 2026</t>
        </is>
      </c>
    </row>
    <row r="51">
      <c r="A51" s="16" t="inlineStr">
        <is>
          <t>3.3 OTROS COSTOS FIJOS (estimados)</t>
        </is>
      </c>
      <c r="B51" s="16" t="inlineStr"/>
      <c r="C51" s="16" t="inlineStr"/>
      <c r="D51" s="16" t="inlineStr"/>
      <c r="E51" s="16" t="inlineStr"/>
    </row>
    <row r="52">
      <c r="A52" s="21" t="inlineStr">
        <is>
          <t xml:space="preserve">  Descartables / packaging</t>
        </is>
      </c>
      <c r="B52" s="22" t="n">
        <v>-120000</v>
      </c>
      <c r="C52" s="23">
        <f>ABS(B52)/B8</f>
        <v/>
      </c>
      <c r="D52" s="21" t="inlineStr"/>
      <c r="E52" s="21" t="inlineStr">
        <is>
          <t>Bolsas papel, nylon, cajas tortas, film, bandejas</t>
        </is>
      </c>
    </row>
    <row r="53">
      <c r="A53" s="21" t="inlineStr">
        <is>
          <t xml:space="preserve">  Mantenimiento equipos</t>
        </is>
      </c>
      <c r="B53" s="22" t="n">
        <v>-60000</v>
      </c>
      <c r="C53" s="23">
        <f>ABS(B53)/B8</f>
        <v/>
      </c>
      <c r="D53" s="21" t="inlineStr"/>
      <c r="E53" s="21" t="inlineStr">
        <is>
          <t>Service horno industrial, amasadora, heladeras, repuestos</t>
        </is>
      </c>
    </row>
    <row r="54">
      <c r="A54" s="21" t="inlineStr">
        <is>
          <t xml:space="preserve">  Indumentaria / EPP</t>
        </is>
      </c>
      <c r="B54" s="22" t="n">
        <v>-15000</v>
      </c>
      <c r="C54" s="23">
        <f>ABS(B54)/B8</f>
        <v/>
      </c>
      <c r="D54" s="21" t="inlineStr"/>
      <c r="E54" s="21" t="inlineStr">
        <is>
          <t>Delantales, gorros, guantes (3 empleados)</t>
        </is>
      </c>
    </row>
    <row r="55">
      <c r="A55" s="21" t="inlineStr">
        <is>
          <t xml:space="preserve">  Habilitacion bromatologica</t>
        </is>
      </c>
      <c r="B55" s="22" t="n">
        <v>-12000</v>
      </c>
      <c r="C55" s="23">
        <f>ABS(B55)/B8</f>
        <v/>
      </c>
      <c r="D55" s="21" t="inlineStr"/>
      <c r="E55" s="21" t="inlineStr">
        <is>
          <t>Anual / 12. Obligatoria elaboracion alimentos</t>
        </is>
      </c>
    </row>
    <row r="56">
      <c r="A56" s="21" t="inlineStr">
        <is>
          <t xml:space="preserve">  Habilitacion municipal</t>
        </is>
      </c>
      <c r="B56" s="22" t="n">
        <v>-8000</v>
      </c>
      <c r="C56" s="23">
        <f>ABS(B56)/B8</f>
        <v/>
      </c>
      <c r="D56" s="21" t="inlineStr"/>
      <c r="E56" s="21" t="inlineStr">
        <is>
          <t>Tasa comercio Lujan de Cuyo / 12</t>
        </is>
      </c>
    </row>
    <row r="57">
      <c r="A57" s="18" t="inlineStr">
        <is>
          <t>SUBTOTAL OTROS FIJOS</t>
        </is>
      </c>
      <c r="B57" s="19">
        <f>SUM(B52:B56)</f>
        <v/>
      </c>
      <c r="C57" s="20">
        <f>ABS(B57)/B8</f>
        <v/>
      </c>
      <c r="D57" s="18" t="inlineStr"/>
      <c r="E57" s="18" t="inlineStr">
        <is>
          <t>Estimados - ajustar con datos reales</t>
        </is>
      </c>
    </row>
    <row r="59">
      <c r="A59" s="10" t="inlineStr">
        <is>
          <t>TOTAL COSTOS FIJOS</t>
        </is>
      </c>
      <c r="B59" s="11">
        <f>B40+B49+B57</f>
        <v/>
      </c>
      <c r="C59" s="12">
        <f>ABS(B59)/B8</f>
        <v/>
      </c>
      <c r="D59" s="10" t="inlineStr"/>
      <c r="E59" s="10" t="inlineStr">
        <is>
          <t>Laboral + Servicios + Otros</t>
        </is>
      </c>
    </row>
    <row r="61">
      <c r="A61" s="3" t="inlineStr">
        <is>
          <t>4. COSTOS VARIABLES (% sobre ventas)</t>
        </is>
      </c>
    </row>
    <row r="62">
      <c r="A62" s="4" t="inlineStr">
        <is>
          <t>Concepto</t>
        </is>
      </c>
      <c r="B62" s="4" t="inlineStr">
        <is>
          <t>Monto Mensual ($)</t>
        </is>
      </c>
      <c r="C62" s="4" t="inlineStr">
        <is>
          <t>% s/Ventas</t>
        </is>
      </c>
      <c r="D62" s="4" t="inlineStr">
        <is>
          <t>Tasa/Base</t>
        </is>
      </c>
      <c r="E62" s="4" t="inlineStr">
        <is>
          <t>Notas</t>
        </is>
      </c>
    </row>
    <row r="63">
      <c r="A63" s="16" t="inlineStr">
        <is>
          <t>4.1 COMISIONES TARJETAS</t>
        </is>
      </c>
      <c r="B63" s="16" t="inlineStr"/>
      <c r="C63" s="16" t="inlineStr"/>
      <c r="D63" s="16" t="inlineStr"/>
      <c r="E63" s="16" t="inlineStr"/>
    </row>
    <row r="64">
      <c r="A64" s="5" t="inlineStr">
        <is>
          <t>Tarjeta Credito (13.9% ventas)</t>
        </is>
      </c>
      <c r="B64" s="6">
        <f>-B8*0.138617*0.03</f>
        <v/>
      </c>
      <c r="C64" s="24">
        <f>ABS(B64)/B8</f>
        <v/>
      </c>
      <c r="D64" s="5" t="inlineStr">
        <is>
          <t>3.0%</t>
        </is>
      </c>
      <c r="E64" s="5" t="inlineStr">
        <is>
          <t>Naranja 41%, Visa 41%, MC 15%</t>
        </is>
      </c>
    </row>
    <row r="65">
      <c r="A65" s="5" t="inlineStr">
        <is>
          <t>Tarjeta Debito (23.4% ventas)</t>
        </is>
      </c>
      <c r="B65" s="6">
        <f>-B8*0.233593*0.012</f>
        <v/>
      </c>
      <c r="C65" s="24">
        <f>ABS(B65)/B8</f>
        <v/>
      </c>
      <c r="D65" s="5" t="inlineStr">
        <is>
          <t>1.2%</t>
        </is>
      </c>
      <c r="E65" s="5" t="inlineStr">
        <is>
          <t>Visa 64%, Mastercard 36%</t>
        </is>
      </c>
    </row>
    <row r="66">
      <c r="A66" s="5" t="inlineStr">
        <is>
          <t>Billetera Virtual (14.5% ventas)</t>
        </is>
      </c>
      <c r="B66" s="6">
        <f>-B8*0.144823*0.015</f>
        <v/>
      </c>
      <c r="C66" s="24">
        <f>ABS(B66)/B8</f>
        <v/>
      </c>
      <c r="D66" s="5" t="inlineStr">
        <is>
          <t>1.5%</t>
        </is>
      </c>
      <c r="E66" s="5" t="inlineStr">
        <is>
          <t>Mercado Pago y otras</t>
        </is>
      </c>
    </row>
    <row r="67">
      <c r="A67" s="25" t="inlineStr">
        <is>
          <t>Subtotal comisiones</t>
        </is>
      </c>
      <c r="B67" s="26">
        <f>B64+B65+B66</f>
        <v/>
      </c>
      <c r="C67" s="27">
        <f>ABS(B67)/B8</f>
        <v/>
      </c>
      <c r="D67" s="25" t="inlineStr"/>
      <c r="E67" s="25" t="inlineStr"/>
    </row>
    <row r="69">
      <c r="A69" s="16" t="inlineStr">
        <is>
          <t>4.2 IMPUESTOS OPERATIVOS</t>
        </is>
      </c>
      <c r="B69" s="16" t="inlineStr"/>
      <c r="C69" s="16" t="inlineStr"/>
      <c r="D69" s="16" t="inlineStr"/>
      <c r="E69" s="16" t="inlineStr"/>
    </row>
    <row r="70">
      <c r="A70" s="5" t="inlineStr">
        <is>
          <t>Ingresos Brutos (Mendoza)</t>
        </is>
      </c>
      <c r="B70" s="6">
        <f>-B8*0.03</f>
        <v/>
      </c>
      <c r="C70" s="17">
        <f>ABS(B70)/B8</f>
        <v/>
      </c>
      <c r="D70" s="5" t="inlineStr">
        <is>
          <t>3%</t>
        </is>
      </c>
      <c r="E70" s="5" t="inlineStr">
        <is>
          <t>Ley Impositiva Mza 2026, Rubro 7 comercio minorista</t>
        </is>
      </c>
    </row>
    <row r="71">
      <c r="A71" s="5" t="inlineStr">
        <is>
          <t>Imp. Debitos y Creditos Bancarios</t>
        </is>
      </c>
      <c r="B71" s="6">
        <f>-B8*0.545697*0.012</f>
        <v/>
      </c>
      <c r="C71" s="24">
        <f>ABS(B71)/B8</f>
        <v/>
      </c>
      <c r="D71" s="5" t="inlineStr">
        <is>
          <t>1.2% s/banc.</t>
        </is>
      </c>
      <c r="E71" s="5" t="inlineStr">
        <is>
          <t>Ley 25.413. Solo s/bancarizado (54.6% ventas, excluye efectivo)</t>
        </is>
      </c>
    </row>
    <row r="72">
      <c r="A72" s="25" t="inlineStr">
        <is>
          <t>Subtotal impuestos</t>
        </is>
      </c>
      <c r="B72" s="26">
        <f>B70+B71</f>
        <v/>
      </c>
      <c r="C72" s="28">
        <f>ABS(B72)/B8</f>
        <v/>
      </c>
      <c r="D72" s="25" t="inlineStr"/>
      <c r="E72" s="25" t="inlineStr"/>
    </row>
    <row r="74">
      <c r="A74" s="16" t="inlineStr">
        <is>
          <t>4.3 MERMA / DESCARTE</t>
        </is>
      </c>
      <c r="B74" s="16" t="inlineStr"/>
      <c r="C74" s="16" t="inlineStr"/>
      <c r="D74" s="16" t="inlineStr"/>
      <c r="E74" s="16" t="inlineStr"/>
    </row>
    <row r="75">
      <c r="A75" s="21" t="inlineStr">
        <is>
          <t>Merma estimada</t>
        </is>
      </c>
      <c r="B75" s="22">
        <f>-B8*0.04</f>
        <v/>
      </c>
      <c r="C75" s="23">
        <f>ABS(B75)/B8</f>
        <v/>
      </c>
      <c r="D75" s="21" t="inlineStr"/>
      <c r="E75" s="21" t="inlineStr">
        <is>
          <t>Panaderia tipico 3-5% (pan del dia, vida util corta). AJUSTAR</t>
        </is>
      </c>
    </row>
    <row r="77">
      <c r="A77" s="10" t="inlineStr">
        <is>
          <t>TOTAL COSTOS VARIABLES</t>
        </is>
      </c>
      <c r="B77" s="11">
        <f>B67+B72+B75</f>
        <v/>
      </c>
      <c r="C77" s="12">
        <f>ABS(B77)/B8</f>
        <v/>
      </c>
      <c r="D77" s="10" t="inlineStr"/>
      <c r="E77" s="10" t="inlineStr"/>
    </row>
    <row r="79">
      <c r="A79" s="3" t="inlineStr">
        <is>
          <t>5. RESULTADO - MARGEN DE CONTRIBUCION</t>
        </is>
      </c>
    </row>
    <row r="80">
      <c r="A80" s="4" t="inlineStr">
        <is>
          <t>Concepto</t>
        </is>
      </c>
      <c r="B80" s="4" t="inlineStr">
        <is>
          <t>Monto Mensual ($)</t>
        </is>
      </c>
      <c r="C80" s="4" t="inlineStr">
        <is>
          <t>% s/Ventas</t>
        </is>
      </c>
      <c r="D80" s="4" t="inlineStr"/>
      <c r="E80" s="4" t="inlineStr">
        <is>
          <t>Notas</t>
        </is>
      </c>
    </row>
    <row r="81">
      <c r="A81" s="5" t="inlineStr">
        <is>
          <t>Ventas Netas</t>
        </is>
      </c>
      <c r="B81" s="6">
        <f>B8</f>
        <v/>
      </c>
      <c r="C81" s="5" t="inlineStr">
        <is>
          <t>100.0%</t>
        </is>
      </c>
      <c r="D81" s="5" t="inlineStr"/>
      <c r="E81" s="5" t="inlineStr"/>
    </row>
    <row r="82">
      <c r="A82" s="5" t="inlineStr">
        <is>
          <t>(-) CMV</t>
        </is>
      </c>
      <c r="B82" s="6">
        <f>B14</f>
        <v/>
      </c>
      <c r="C82" s="17">
        <f>ABS(B82)/B81</f>
        <v/>
      </c>
      <c r="D82" s="5" t="inlineStr"/>
      <c r="E82" s="5" t="inlineStr"/>
    </row>
    <row r="83">
      <c r="A83" s="25" t="inlineStr">
        <is>
          <t>MARGEN BRUTO</t>
        </is>
      </c>
      <c r="B83" s="26">
        <f>B81+B82</f>
        <v/>
      </c>
      <c r="C83" s="28">
        <f>B83/B81</f>
        <v/>
      </c>
      <c r="D83" s="25" t="inlineStr"/>
      <c r="E83" s="25" t="inlineStr"/>
    </row>
    <row r="84">
      <c r="A84" s="5" t="inlineStr">
        <is>
          <t>(-) Costos Fijos</t>
        </is>
      </c>
      <c r="B84" s="6">
        <f>B59</f>
        <v/>
      </c>
      <c r="C84" s="17">
        <f>ABS(B84)/B81</f>
        <v/>
      </c>
      <c r="D84" s="5" t="inlineStr"/>
      <c r="E84" s="5" t="inlineStr">
        <is>
          <t>Laboral + Servicios + Otros</t>
        </is>
      </c>
    </row>
    <row r="85">
      <c r="A85" s="5" t="inlineStr">
        <is>
          <t>(-) Costos Variables</t>
        </is>
      </c>
      <c r="B85" s="6">
        <f>B77</f>
        <v/>
      </c>
      <c r="C85" s="17">
        <f>ABS(B85)/B81</f>
        <v/>
      </c>
      <c r="D85" s="5" t="inlineStr"/>
      <c r="E85" s="5" t="inlineStr"/>
    </row>
    <row r="86">
      <c r="A86" s="29" t="inlineStr">
        <is>
          <t>RESULTADO NETO</t>
        </is>
      </c>
      <c r="B86" s="30">
        <f>B83+B84+B85</f>
        <v/>
      </c>
      <c r="C86" s="31">
        <f>B86/B81</f>
        <v/>
      </c>
      <c r="D86" s="29" t="inlineStr"/>
      <c r="E86" s="29" t="inlineStr">
        <is>
          <t>SUPERAVITARIO</t>
        </is>
      </c>
    </row>
    <row r="87">
      <c r="A87" s="2" t="inlineStr">
        <is>
          <t xml:space="preserve">  Items en amarillo son estimados. Ajustar con datos reales.</t>
        </is>
      </c>
    </row>
    <row r="89">
      <c r="A89" s="3" t="inlineStr">
        <is>
          <t>6. PUNTO DE EQUILIBRIO</t>
        </is>
      </c>
    </row>
    <row r="90">
      <c r="A90" s="25" t="inlineStr">
        <is>
          <t>Ventas necesarias para cubrir costos fijos (margen 70%)</t>
        </is>
      </c>
      <c r="B90" s="26">
        <f>-B59/(0.7+B77/B8)</f>
        <v/>
      </c>
      <c r="C90" s="25" t="inlineStr"/>
      <c r="D90" s="25" t="inlineStr"/>
      <c r="E90" s="25" t="inlineStr"/>
    </row>
    <row r="91">
      <c r="A91" s="5" t="inlineStr">
        <is>
          <t>Ventas actuales promedio</t>
        </is>
      </c>
      <c r="B91" s="6">
        <f>B8</f>
        <v/>
      </c>
      <c r="C91" s="5" t="inlineStr"/>
      <c r="D91" s="5" t="inlineStr"/>
      <c r="E91" s="5" t="inlineStr"/>
    </row>
    <row r="92">
      <c r="A92" s="7" t="inlineStr">
        <is>
          <t>Cobertura punto de equilibrio</t>
        </is>
      </c>
      <c r="B92" s="7" t="inlineStr"/>
      <c r="C92" s="15">
        <f>B91/B90</f>
        <v/>
      </c>
      <c r="D92" s="7" t="inlineStr"/>
      <c r="E92" s="7" t="inlineStr">
        <is>
          <t>OK - cubre costos fijos</t>
        </is>
      </c>
    </row>
    <row r="94">
      <c r="A94" s="3" t="inlineStr">
        <is>
          <t>SUPUESTOS</t>
        </is>
      </c>
    </row>
    <row r="95">
      <c r="A95" s="2" t="inlineStr">
        <is>
          <t xml:space="preserve">  1. Empresa NO inscripta como MiPyME - Contribuciones patronales SUSS al 20.74%</t>
        </is>
      </c>
    </row>
    <row r="96">
      <c r="A96" s="2" t="inlineStr">
        <is>
          <t xml:space="preserve">  2. CCT 130/75 Empleados de Comercio - Categoria Auxiliar Especializado A, sin antiguedad</t>
        </is>
      </c>
    </row>
    <row r="97">
      <c r="A97" s="2" t="inlineStr">
        <is>
          <t xml:space="preserve">  3. Sueldo: $1,080,274 remunerativo + $100,000 NR = $1,180,274/empleado (escala Dic 2025 - Mar 2026)</t>
        </is>
      </c>
    </row>
    <row r="98">
      <c r="A98" s="2" t="inlineStr">
        <is>
          <t xml:space="preserve">  4. Contribuciones patronales (29.74%) calculadas SOLO sobre remunerativo. NR no genera cargas</t>
        </is>
      </c>
    </row>
    <row r="99">
      <c r="A99" s="2" t="inlineStr">
        <is>
          <t xml:space="preserve">  5. SAC mensualizado sobre base remunerativa + contribuciones</t>
        </is>
      </c>
    </row>
    <row r="100">
      <c r="A100" s="2" t="inlineStr">
        <is>
          <t xml:space="preserve">  6. Margen bruto sobre PVP: 70% (estimado elab. propia panaderia - validar con costeo recetas)</t>
        </is>
      </c>
    </row>
    <row r="101">
      <c r="A101" s="2" t="inlineStr">
        <is>
          <t xml:space="preserve">  7. Comisiones: Credito 3%, Debito 1.2%, Billetera 1.5% (promedios de mercado)</t>
        </is>
      </c>
    </row>
    <row r="102">
      <c r="A102" s="2" t="inlineStr">
        <is>
          <t xml:space="preserve">  8. IIBB Mendoza: 3% (Ley Impositiva Mza 2026, Rubro 7 comercio minorista)</t>
        </is>
      </c>
    </row>
    <row r="103">
      <c r="A103" s="2" t="inlineStr">
        <is>
          <t xml:space="preserve">  9. Imp. Debitos/Creditos: 1.2% SOLO sobre bancarizado (54.6% ventas). Ley 25.413</t>
        </is>
      </c>
    </row>
    <row r="104">
      <c r="A104" s="2" t="inlineStr">
        <is>
          <t xml:space="preserve">  10. Merma estimada: 4% (pan del dia con vida util corta, tipico 3-5%)</t>
        </is>
      </c>
    </row>
    <row r="105">
      <c r="A105" s="2" t="inlineStr">
        <is>
          <t xml:space="preserve">  11. IVA: no se incluye como costo (se compensa DF vs CF). Solo se muestra para referencia</t>
        </is>
      </c>
    </row>
    <row r="106">
      <c r="A106" s="2" t="inlineStr">
        <is>
          <t xml:space="preserve">  12. Ventas: ultimos 31 dias reales (01/03/2026 - 31/03/2026) desestacionalizados con indice 2025</t>
        </is>
      </c>
    </row>
    <row r="107">
      <c r="A107" s="2" t="inlineStr">
        <is>
          <t xml:space="preserve">  13. SOLO incluye PANAD.ELAB.PROPIA (produccion propia). NO incluye reventa (PANIFIC.Y MASAS FRESCAS)</t>
        </is>
      </c>
    </row>
    <row r="108">
      <c r="A108" s="2" t="inlineStr">
        <is>
          <t xml:space="preserve">  14. Gas: 1153 m3/mes (hornos industriales ~8-10h/dia). Factura $664,000/1485m3 compartida con rotiseria</t>
        </is>
      </c>
    </row>
    <row r="109">
      <c r="A109" s="2" t="inlineStr">
        <is>
          <t xml:space="preserve">  15. Electricidad: 1100 kWh/mes. Tarifa $365.76/kWh all-in s/factura EDEMSA</t>
        </is>
      </c>
    </row>
    <row r="110">
      <c r="A110" s="2" t="inlineStr">
        <is>
          <t xml:space="preserve">  16. Empleados: 3 (confirmado por Sebastian Pena, Mar 2026)</t>
        </is>
      </c>
    </row>
    <row r="111">
      <c r="A111" s="2" t="inlineStr">
        <is>
          <t xml:space="preserve">  17. NO incluye: alquiler, amortizacion equipos, agua, seguros (excluidos por decision del cliente)</t>
        </is>
      </c>
    </row>
  </sheetData>
  <mergeCells count="28">
    <mergeCell ref="A98:E98"/>
    <mergeCell ref="A107:E107"/>
    <mergeCell ref="A1:E1"/>
    <mergeCell ref="A94:E94"/>
    <mergeCell ref="A103:E103"/>
    <mergeCell ref="A61:E61"/>
    <mergeCell ref="A110:E110"/>
    <mergeCell ref="A79:E79"/>
    <mergeCell ref="A87:E87"/>
    <mergeCell ref="A25:E25"/>
    <mergeCell ref="A108:E108"/>
    <mergeCell ref="A99:E99"/>
    <mergeCell ref="A89:E89"/>
    <mergeCell ref="A105:E105"/>
    <mergeCell ref="A12:E12"/>
    <mergeCell ref="A95:E95"/>
    <mergeCell ref="A101:E101"/>
    <mergeCell ref="A2:E2"/>
    <mergeCell ref="A104:E104"/>
    <mergeCell ref="A23:E23"/>
    <mergeCell ref="A97:E97"/>
    <mergeCell ref="A106:E106"/>
    <mergeCell ref="A109:E109"/>
    <mergeCell ref="A4:E4"/>
    <mergeCell ref="A100:E100"/>
    <mergeCell ref="A96:E96"/>
    <mergeCell ref="A102:E102"/>
    <mergeCell ref="A111:E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VENTAS MENSUALES PANADERIA ELAB. PROPIA - DETALLE</t>
        </is>
      </c>
    </row>
    <row r="3">
      <c r="A3" s="4" t="inlineStr">
        <is>
          <t>Periodo</t>
        </is>
      </c>
      <c r="B3" s="4" t="inlineStr">
        <is>
          <t>Ventas ($)</t>
        </is>
      </c>
      <c r="C3" s="4" t="inlineStr">
        <is>
          <t>Tickets</t>
        </is>
      </c>
      <c r="D3" s="4" t="inlineStr">
        <is>
          <t>Items</t>
        </is>
      </c>
      <c r="E3" s="4" t="inlineStr">
        <is>
          <t>Ticket Prom</t>
        </is>
      </c>
      <c r="F3" s="4" t="inlineStr">
        <is>
          <t>Efectivo ($)</t>
        </is>
      </c>
      <c r="G3" s="4" t="inlineStr">
        <is>
          <t>Debito ($)</t>
        </is>
      </c>
      <c r="H3" s="4" t="inlineStr">
        <is>
          <t>Credito ($)</t>
        </is>
      </c>
      <c r="I3" s="4" t="inlineStr">
        <is>
          <t>Billetera ($)</t>
        </is>
      </c>
    </row>
    <row r="4">
      <c r="A4" s="5" t="inlineStr">
        <is>
          <t>2024-10</t>
        </is>
      </c>
      <c r="B4" s="6" t="n">
        <v>21471977</v>
      </c>
      <c r="C4" s="6" t="n">
        <v>10485</v>
      </c>
      <c r="D4" s="6" t="n">
        <v>15861</v>
      </c>
      <c r="E4" s="6" t="n">
        <v>2048</v>
      </c>
      <c r="F4" s="6" t="n">
        <v>16943200</v>
      </c>
      <c r="G4" s="32" t="n">
        <v>0</v>
      </c>
      <c r="H4" s="6" t="n">
        <v>4528778</v>
      </c>
      <c r="I4" s="32" t="n">
        <v>0</v>
      </c>
    </row>
    <row r="5">
      <c r="A5" s="5" t="inlineStr">
        <is>
          <t>2024-11</t>
        </is>
      </c>
      <c r="B5" s="6" t="n">
        <v>21509562</v>
      </c>
      <c r="C5" s="6" t="n">
        <v>10273</v>
      </c>
      <c r="D5" s="6" t="n">
        <v>15486</v>
      </c>
      <c r="E5" s="6" t="n">
        <v>2094</v>
      </c>
      <c r="F5" s="6" t="n">
        <v>17238765</v>
      </c>
      <c r="G5" s="32" t="n">
        <v>0</v>
      </c>
      <c r="H5" s="6" t="n">
        <v>4270798</v>
      </c>
      <c r="I5" s="32" t="n">
        <v>0</v>
      </c>
    </row>
    <row r="6">
      <c r="A6" s="5" t="inlineStr">
        <is>
          <t>2024-12</t>
        </is>
      </c>
      <c r="B6" s="6" t="n">
        <v>26646431</v>
      </c>
      <c r="C6" s="6" t="n">
        <v>10895</v>
      </c>
      <c r="D6" s="6" t="n">
        <v>17368</v>
      </c>
      <c r="E6" s="6" t="n">
        <v>2446</v>
      </c>
      <c r="F6" s="6" t="n">
        <v>21845173</v>
      </c>
      <c r="G6" s="32" t="n">
        <v>0</v>
      </c>
      <c r="H6" s="6" t="n">
        <v>4801257</v>
      </c>
      <c r="I6" s="32" t="n">
        <v>0</v>
      </c>
    </row>
    <row r="7">
      <c r="A7" s="5" t="inlineStr">
        <is>
          <t>2025-01</t>
        </is>
      </c>
      <c r="B7" s="6" t="n">
        <v>21175971</v>
      </c>
      <c r="C7" s="6" t="n">
        <v>10683</v>
      </c>
      <c r="D7" s="6" t="n">
        <v>15487</v>
      </c>
      <c r="E7" s="6" t="n">
        <v>1982</v>
      </c>
      <c r="F7" s="6" t="n">
        <v>7203978</v>
      </c>
      <c r="G7" s="6" t="n">
        <v>5994840</v>
      </c>
      <c r="H7" s="6" t="n">
        <v>3556600</v>
      </c>
      <c r="I7" s="6" t="n">
        <v>4420552</v>
      </c>
    </row>
    <row r="8">
      <c r="A8" s="5" t="inlineStr">
        <is>
          <t>2025-02</t>
        </is>
      </c>
      <c r="B8" s="6" t="n">
        <v>22084885</v>
      </c>
      <c r="C8" s="6" t="n">
        <v>10052</v>
      </c>
      <c r="D8" s="6" t="n">
        <v>15383</v>
      </c>
      <c r="E8" s="6" t="n">
        <v>2197</v>
      </c>
      <c r="F8" s="6" t="n">
        <v>7190396</v>
      </c>
      <c r="G8" s="6" t="n">
        <v>6131418</v>
      </c>
      <c r="H8" s="6" t="n">
        <v>3596786</v>
      </c>
      <c r="I8" s="6" t="n">
        <v>5166285</v>
      </c>
    </row>
    <row r="9">
      <c r="A9" s="5" t="inlineStr">
        <is>
          <t>2025-03</t>
        </is>
      </c>
      <c r="B9" s="6" t="n">
        <v>24482157</v>
      </c>
      <c r="C9" s="6" t="n">
        <v>10701</v>
      </c>
      <c r="D9" s="6" t="n">
        <v>16129</v>
      </c>
      <c r="E9" s="6" t="n">
        <v>2288</v>
      </c>
      <c r="F9" s="6" t="n">
        <v>8255358</v>
      </c>
      <c r="G9" s="6" t="n">
        <v>6725926</v>
      </c>
      <c r="H9" s="6" t="n">
        <v>4021284</v>
      </c>
      <c r="I9" s="6" t="n">
        <v>5479589</v>
      </c>
    </row>
    <row r="10">
      <c r="A10" s="5" t="inlineStr">
        <is>
          <t>2025-04</t>
        </is>
      </c>
      <c r="B10" s="6" t="n">
        <v>24372421</v>
      </c>
      <c r="C10" s="6" t="n">
        <v>10435</v>
      </c>
      <c r="D10" s="6" t="n">
        <v>15241</v>
      </c>
      <c r="E10" s="6" t="n">
        <v>2336</v>
      </c>
      <c r="F10" s="6" t="n">
        <v>8562735</v>
      </c>
      <c r="G10" s="6" t="n">
        <v>6869585</v>
      </c>
      <c r="H10" s="6" t="n">
        <v>4279949</v>
      </c>
      <c r="I10" s="6" t="n">
        <v>4660152</v>
      </c>
    </row>
    <row r="11">
      <c r="A11" s="5" t="inlineStr">
        <is>
          <t>2025-05</t>
        </is>
      </c>
      <c r="B11" s="6" t="n">
        <v>24235679</v>
      </c>
      <c r="C11" s="6" t="n">
        <v>10199</v>
      </c>
      <c r="D11" s="6" t="n">
        <v>15544</v>
      </c>
      <c r="E11" s="6" t="n">
        <v>2376</v>
      </c>
      <c r="F11" s="6" t="n">
        <v>8317482</v>
      </c>
      <c r="G11" s="6" t="n">
        <v>7234238</v>
      </c>
      <c r="H11" s="6" t="n">
        <v>4165423</v>
      </c>
      <c r="I11" s="6" t="n">
        <v>4518536</v>
      </c>
    </row>
    <row r="12">
      <c r="A12" s="5" t="inlineStr">
        <is>
          <t>2025-06</t>
        </is>
      </c>
      <c r="B12" s="6" t="n">
        <v>24862837</v>
      </c>
      <c r="C12" s="6" t="n">
        <v>10251</v>
      </c>
      <c r="D12" s="6" t="n">
        <v>15774</v>
      </c>
      <c r="E12" s="6" t="n">
        <v>2425</v>
      </c>
      <c r="F12" s="6" t="n">
        <v>8325761</v>
      </c>
      <c r="G12" s="6" t="n">
        <v>7630136</v>
      </c>
      <c r="H12" s="6" t="n">
        <v>4066238</v>
      </c>
      <c r="I12" s="6" t="n">
        <v>4840703</v>
      </c>
    </row>
    <row r="13">
      <c r="A13" s="5" t="inlineStr">
        <is>
          <t>2025-07</t>
        </is>
      </c>
      <c r="B13" s="6" t="n">
        <v>27613323</v>
      </c>
      <c r="C13" s="6" t="n">
        <v>10426</v>
      </c>
      <c r="D13" s="6" t="n">
        <v>16238</v>
      </c>
      <c r="E13" s="6" t="n">
        <v>2649</v>
      </c>
      <c r="F13" s="6" t="n">
        <v>9355566</v>
      </c>
      <c r="G13" s="6" t="n">
        <v>8138140</v>
      </c>
      <c r="H13" s="6" t="n">
        <v>4463005</v>
      </c>
      <c r="I13" s="6" t="n">
        <v>5656612</v>
      </c>
    </row>
    <row r="14">
      <c r="A14" s="5" t="inlineStr">
        <is>
          <t>2025-08</t>
        </is>
      </c>
      <c r="B14" s="6" t="n">
        <v>26765341</v>
      </c>
      <c r="C14" s="6" t="n">
        <v>10145</v>
      </c>
      <c r="D14" s="6" t="n">
        <v>15617</v>
      </c>
      <c r="E14" s="6" t="n">
        <v>2638</v>
      </c>
      <c r="F14" s="6" t="n">
        <v>8894588</v>
      </c>
      <c r="G14" s="6" t="n">
        <v>8058896</v>
      </c>
      <c r="H14" s="6" t="n">
        <v>4300329</v>
      </c>
      <c r="I14" s="6" t="n">
        <v>5511529</v>
      </c>
    </row>
    <row r="15">
      <c r="A15" s="5" t="inlineStr">
        <is>
          <t>2025-09</t>
        </is>
      </c>
      <c r="B15" s="6" t="n">
        <v>25294130</v>
      </c>
      <c r="C15" s="6" t="n">
        <v>9357</v>
      </c>
      <c r="D15" s="6" t="n">
        <v>14087</v>
      </c>
      <c r="E15" s="6" t="n">
        <v>2703</v>
      </c>
      <c r="F15" s="6" t="n">
        <v>8561524</v>
      </c>
      <c r="G15" s="6" t="n">
        <v>7193680</v>
      </c>
      <c r="H15" s="6" t="n">
        <v>4308066</v>
      </c>
      <c r="I15" s="6" t="n">
        <v>5230860</v>
      </c>
    </row>
    <row r="16">
      <c r="A16" s="5" t="inlineStr">
        <is>
          <t>2025-10</t>
        </is>
      </c>
      <c r="B16" s="6" t="n">
        <v>8810914</v>
      </c>
      <c r="C16" s="6" t="n">
        <v>3068</v>
      </c>
      <c r="D16" s="6" t="n">
        <v>4454</v>
      </c>
      <c r="E16" s="6" t="n">
        <v>2872</v>
      </c>
      <c r="F16" s="6" t="n">
        <v>4602718</v>
      </c>
      <c r="G16" s="6" t="n">
        <v>1854011</v>
      </c>
      <c r="H16" s="6" t="n">
        <v>1020687</v>
      </c>
      <c r="I16" s="6" t="n">
        <v>1333498</v>
      </c>
    </row>
    <row r="17">
      <c r="A17" s="5" t="inlineStr">
        <is>
          <t>2025-11</t>
        </is>
      </c>
      <c r="B17" s="6" t="n">
        <v>16040813</v>
      </c>
      <c r="C17" s="6" t="n">
        <v>5356</v>
      </c>
      <c r="D17" s="6" t="n">
        <v>7823</v>
      </c>
      <c r="E17" s="6" t="n">
        <v>2995</v>
      </c>
      <c r="F17" s="6" t="n">
        <v>8643116</v>
      </c>
      <c r="G17" s="6" t="n">
        <v>4628172</v>
      </c>
      <c r="H17" s="6" t="n">
        <v>2764034</v>
      </c>
      <c r="I17" s="6" t="n">
        <v>5492</v>
      </c>
    </row>
    <row r="18">
      <c r="A18" s="5" t="inlineStr">
        <is>
          <t>2025-12</t>
        </is>
      </c>
      <c r="B18" s="6" t="n">
        <v>33684550</v>
      </c>
      <c r="C18" s="6" t="n">
        <v>10005</v>
      </c>
      <c r="D18" s="6" t="n">
        <v>16453</v>
      </c>
      <c r="E18" s="6" t="n">
        <v>3367</v>
      </c>
      <c r="F18" s="6" t="n">
        <v>17941668</v>
      </c>
      <c r="G18" s="6" t="n">
        <v>10631080</v>
      </c>
      <c r="H18" s="6" t="n">
        <v>5086615</v>
      </c>
      <c r="I18" s="6" t="n">
        <v>25188</v>
      </c>
    </row>
    <row r="19">
      <c r="A19" s="5" t="inlineStr">
        <is>
          <t>2026-01</t>
        </is>
      </c>
      <c r="B19" s="6" t="n">
        <v>27579732</v>
      </c>
      <c r="C19" s="6" t="n">
        <v>9796</v>
      </c>
      <c r="D19" s="6" t="n">
        <v>14296</v>
      </c>
      <c r="E19" s="6" t="n">
        <v>2815</v>
      </c>
      <c r="F19" s="6" t="n">
        <v>13680005</v>
      </c>
      <c r="G19" s="6" t="n">
        <v>7948094</v>
      </c>
      <c r="H19" s="6" t="n">
        <v>484295</v>
      </c>
      <c r="I19" s="6" t="n">
        <v>5467338</v>
      </c>
    </row>
    <row r="20">
      <c r="A20" s="5" t="inlineStr">
        <is>
          <t>2026-02</t>
        </is>
      </c>
      <c r="B20" s="6" t="n">
        <v>25648077</v>
      </c>
      <c r="C20" s="6" t="n">
        <v>9022</v>
      </c>
      <c r="D20" s="6" t="n">
        <v>13377</v>
      </c>
      <c r="E20" s="6" t="n">
        <v>2843</v>
      </c>
      <c r="F20" s="6" t="n">
        <v>11983084</v>
      </c>
      <c r="G20" s="6" t="n">
        <v>7288811</v>
      </c>
      <c r="H20" s="32" t="n">
        <v>0</v>
      </c>
      <c r="I20" s="6" t="n">
        <v>6376182</v>
      </c>
    </row>
    <row r="21">
      <c r="A21" s="5" t="inlineStr">
        <is>
          <t>2026-03</t>
        </is>
      </c>
      <c r="B21" s="6" t="n">
        <v>24413440</v>
      </c>
      <c r="C21" s="6" t="n">
        <v>9334</v>
      </c>
      <c r="D21" s="6" t="n">
        <v>12209</v>
      </c>
      <c r="E21" s="6" t="n">
        <v>2616</v>
      </c>
      <c r="F21" s="6" t="n">
        <v>8161351</v>
      </c>
      <c r="G21" s="6" t="n">
        <v>4301065</v>
      </c>
      <c r="H21" s="32" t="n">
        <v>0</v>
      </c>
      <c r="I21" s="6" t="n">
        <v>3694898</v>
      </c>
    </row>
    <row r="22">
      <c r="A22" s="5" t="inlineStr">
        <is>
          <t>2026-04</t>
        </is>
      </c>
      <c r="B22" s="6" t="n">
        <v>4091463</v>
      </c>
      <c r="C22" s="6" t="n">
        <v>1490</v>
      </c>
      <c r="D22" s="6" t="n">
        <v>1628</v>
      </c>
      <c r="E22" s="6" t="n">
        <v>2746</v>
      </c>
      <c r="F22" s="32" t="n">
        <v>0</v>
      </c>
      <c r="G22" s="32" t="n">
        <v>0</v>
      </c>
      <c r="H22" s="32" t="n">
        <v>0</v>
      </c>
      <c r="I22" s="32" t="n">
        <v>0</v>
      </c>
    </row>
    <row r="24">
      <c r="A24" s="7" t="inlineStr">
        <is>
          <t>TOTAL</t>
        </is>
      </c>
      <c r="B24" s="8" t="n">
        <v>430783703</v>
      </c>
      <c r="C24" s="8" t="n">
        <v>171973</v>
      </c>
      <c r="D24" s="8" t="n">
        <v>258457</v>
      </c>
      <c r="E24" s="7" t="inlineStr"/>
      <c r="F24" s="7" t="inlineStr"/>
      <c r="G24" s="7" t="inlineStr"/>
      <c r="H24" s="7" t="inlineStr"/>
      <c r="I24" s="7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PRODUCTOS PANADERIA ELAB. PROPIA - CLASIFICACION ABC</t>
        </is>
      </c>
    </row>
    <row r="3">
      <c r="A3" s="4" t="inlineStr">
        <is>
          <t>Producto</t>
        </is>
      </c>
      <c r="B3" s="4" t="inlineStr">
        <is>
          <t>Ventas ($)</t>
        </is>
      </c>
      <c r="C3" s="4" t="inlineStr">
        <is>
          <t>Cantidad</t>
        </is>
      </c>
      <c r="D3" s="4" t="inlineStr">
        <is>
          <t>Precio Prom ($)</t>
        </is>
      </c>
      <c r="E3" s="4" t="inlineStr">
        <is>
          <t>% Ventas</t>
        </is>
      </c>
      <c r="F3" s="4" t="inlineStr">
        <is>
          <t>% Acum</t>
        </is>
      </c>
    </row>
    <row r="4">
      <c r="A4" s="33" t="inlineStr">
        <is>
          <t>TORTAS X 6U.</t>
        </is>
      </c>
      <c r="B4" s="34" t="n">
        <v>72992075</v>
      </c>
      <c r="C4" s="34" t="n">
        <v>56326</v>
      </c>
      <c r="D4" s="34" t="n">
        <v>1290</v>
      </c>
      <c r="E4" s="34" t="n">
        <v>16.9</v>
      </c>
      <c r="F4" s="34" t="n">
        <v>16.9</v>
      </c>
    </row>
    <row r="5">
      <c r="A5" s="33" t="inlineStr">
        <is>
          <t>PAN NINO FLAUTA</t>
        </is>
      </c>
      <c r="B5" s="34" t="n">
        <v>69966826</v>
      </c>
      <c r="C5" s="34" t="n">
        <v>40846</v>
      </c>
      <c r="D5" s="34" t="n">
        <v>1884</v>
      </c>
      <c r="E5" s="34" t="n">
        <v>16.2</v>
      </c>
      <c r="F5" s="34" t="n">
        <v>33.2</v>
      </c>
    </row>
    <row r="6">
      <c r="A6" s="33" t="inlineStr">
        <is>
          <t>PAN NINO MIÑON</t>
        </is>
      </c>
      <c r="B6" s="34" t="n">
        <v>40366595</v>
      </c>
      <c r="C6" s="34" t="n">
        <v>18775</v>
      </c>
      <c r="D6" s="34" t="n">
        <v>2184</v>
      </c>
      <c r="E6" s="34" t="n">
        <v>9.4</v>
      </c>
      <c r="F6" s="34" t="n">
        <v>42.6</v>
      </c>
    </row>
    <row r="7">
      <c r="A7" s="33" t="inlineStr">
        <is>
          <t>SACRAMENTO X 6 U</t>
        </is>
      </c>
      <c r="B7" s="34" t="n">
        <v>28464410</v>
      </c>
      <c r="C7" s="34" t="n">
        <v>18559</v>
      </c>
      <c r="D7" s="34" t="n">
        <v>1528</v>
      </c>
      <c r="E7" s="34" t="n">
        <v>6.6</v>
      </c>
      <c r="F7" s="34" t="n">
        <v>49.2</v>
      </c>
    </row>
    <row r="8">
      <c r="A8" s="33" t="inlineStr">
        <is>
          <t>FAC. ESPECIALES X 6U</t>
        </is>
      </c>
      <c r="B8" s="34" t="n">
        <v>26371250</v>
      </c>
      <c r="C8" s="34" t="n">
        <v>11937</v>
      </c>
      <c r="D8" s="34" t="n">
        <v>2202</v>
      </c>
      <c r="E8" s="34" t="n">
        <v>6.1</v>
      </c>
      <c r="F8" s="34" t="n">
        <v>55.3</v>
      </c>
    </row>
    <row r="9">
      <c r="A9" s="33" t="inlineStr">
        <is>
          <t>PAN CASERO NINO</t>
        </is>
      </c>
      <c r="B9" s="34" t="n">
        <v>19670562</v>
      </c>
      <c r="C9" s="34" t="n">
        <v>7103</v>
      </c>
      <c r="D9" s="34" t="n">
        <v>2150</v>
      </c>
      <c r="E9" s="34" t="n">
        <v>4.6</v>
      </c>
      <c r="F9" s="34" t="n">
        <v>59.9</v>
      </c>
    </row>
    <row r="10">
      <c r="A10" s="33" t="inlineStr">
        <is>
          <t>PAN SALVADO NINO</t>
        </is>
      </c>
      <c r="B10" s="34" t="n">
        <v>18097846</v>
      </c>
      <c r="C10" s="34" t="n">
        <v>3100</v>
      </c>
      <c r="D10" s="34" t="n">
        <v>2715</v>
      </c>
      <c r="E10" s="34" t="n">
        <v>4.2</v>
      </c>
      <c r="F10" s="34" t="n">
        <v>64.09999999999999</v>
      </c>
    </row>
    <row r="11">
      <c r="A11" s="33" t="inlineStr">
        <is>
          <t>PRE-PIZZA NINO X 2 UNI</t>
        </is>
      </c>
      <c r="B11" s="34" t="n">
        <v>17700565</v>
      </c>
      <c r="C11" s="34" t="n">
        <v>8230</v>
      </c>
      <c r="D11" s="34" t="n">
        <v>2133</v>
      </c>
      <c r="E11" s="34" t="n">
        <v>4.1</v>
      </c>
      <c r="F11" s="34" t="n">
        <v>68.2</v>
      </c>
    </row>
    <row r="12">
      <c r="A12" s="33" t="inlineStr">
        <is>
          <t>PAN NINO BAGUETTE</t>
        </is>
      </c>
      <c r="B12" s="34" t="n">
        <v>14387648</v>
      </c>
      <c r="C12" s="34" t="n">
        <v>1778</v>
      </c>
      <c r="D12" s="34" t="n">
        <v>2175</v>
      </c>
      <c r="E12" s="34" t="n">
        <v>3.3</v>
      </c>
      <c r="F12" s="34" t="n">
        <v>71.5</v>
      </c>
    </row>
    <row r="13">
      <c r="A13" s="33" t="inlineStr">
        <is>
          <t>TORTAS NINO X 6U.</t>
        </is>
      </c>
      <c r="B13" s="34" t="n">
        <v>13490250</v>
      </c>
      <c r="C13" s="34" t="n">
        <v>8149</v>
      </c>
      <c r="D13" s="34" t="n">
        <v>1648</v>
      </c>
      <c r="E13" s="34" t="n">
        <v>3.1</v>
      </c>
      <c r="F13" s="34" t="n">
        <v>74.59999999999999</v>
      </c>
    </row>
    <row r="14">
      <c r="A14" s="33" t="inlineStr">
        <is>
          <t>BIZCOCHUELO NINO</t>
        </is>
      </c>
      <c r="B14" s="34" t="n">
        <v>10824072</v>
      </c>
      <c r="C14" s="34" t="n">
        <v>1160</v>
      </c>
      <c r="D14" s="34" t="n">
        <v>9804</v>
      </c>
      <c r="E14" s="34" t="n">
        <v>2.5</v>
      </c>
      <c r="F14" s="34" t="n">
        <v>77.09999999999999</v>
      </c>
    </row>
    <row r="15">
      <c r="A15" s="33" t="inlineStr">
        <is>
          <t>PAN DULCE NINO CLASICO X 500 GS</t>
        </is>
      </c>
      <c r="B15" s="34" t="n">
        <v>10483830</v>
      </c>
      <c r="C15" s="34" t="n">
        <v>2997</v>
      </c>
      <c r="D15" s="34" t="n">
        <v>3424</v>
      </c>
      <c r="E15" s="34" t="n">
        <v>2.4</v>
      </c>
      <c r="F15" s="34" t="n">
        <v>79.59999999999999</v>
      </c>
    </row>
    <row r="16">
      <c r="A16" s="21" t="inlineStr">
        <is>
          <t>NINO DISCOS PARA EMPANADAS  X12U</t>
        </is>
      </c>
      <c r="B16" s="22" t="n">
        <v>9601130</v>
      </c>
      <c r="C16" s="22" t="n">
        <v>7948</v>
      </c>
      <c r="D16" s="22" t="n">
        <v>1187</v>
      </c>
      <c r="E16" s="22" t="n">
        <v>2.2</v>
      </c>
      <c r="F16" s="22" t="n">
        <v>81.8</v>
      </c>
    </row>
    <row r="17">
      <c r="A17" s="21" t="inlineStr">
        <is>
          <t>PIONONO NINO TRADICIONAL</t>
        </is>
      </c>
      <c r="B17" s="22" t="n">
        <v>9381749</v>
      </c>
      <c r="C17" s="22" t="n">
        <v>955</v>
      </c>
      <c r="D17" s="22" t="n">
        <v>8362</v>
      </c>
      <c r="E17" s="22" t="n">
        <v>2.2</v>
      </c>
      <c r="F17" s="22" t="n">
        <v>84</v>
      </c>
    </row>
    <row r="18">
      <c r="A18" s="21" t="inlineStr">
        <is>
          <t>PAN RALLADO NINO X 500 GRS</t>
        </is>
      </c>
      <c r="B18" s="22" t="n">
        <v>7481290</v>
      </c>
      <c r="C18" s="22" t="n">
        <v>5367</v>
      </c>
      <c r="D18" s="22" t="n">
        <v>1386</v>
      </c>
      <c r="E18" s="22" t="n">
        <v>1.7</v>
      </c>
      <c r="F18" s="22" t="n">
        <v>85.7</v>
      </c>
    </row>
    <row r="19">
      <c r="A19" s="21" t="inlineStr">
        <is>
          <t>PIZZETAS NINO X 2 UNI</t>
        </is>
      </c>
      <c r="B19" s="22" t="n">
        <v>6471210</v>
      </c>
      <c r="C19" s="22" t="n">
        <v>8841</v>
      </c>
      <c r="D19" s="22" t="n">
        <v>720</v>
      </c>
      <c r="E19" s="22" t="n">
        <v>1.5</v>
      </c>
      <c r="F19" s="22" t="n">
        <v>87.2</v>
      </c>
    </row>
    <row r="20">
      <c r="A20" s="21" t="inlineStr">
        <is>
          <t>PRE-PIZZA NINO X 1 UNI</t>
        </is>
      </c>
      <c r="B20" s="22" t="n">
        <v>5807780</v>
      </c>
      <c r="C20" s="22" t="n">
        <v>3883</v>
      </c>
      <c r="D20" s="22" t="n">
        <v>1470</v>
      </c>
      <c r="E20" s="22" t="n">
        <v>1.3</v>
      </c>
      <c r="F20" s="22" t="n">
        <v>88.59999999999999</v>
      </c>
    </row>
    <row r="21">
      <c r="A21" s="21" t="inlineStr">
        <is>
          <t>PAN DE PANCHOS  NINO  X 6 UN</t>
        </is>
      </c>
      <c r="B21" s="22" t="n">
        <v>5805610</v>
      </c>
      <c r="C21" s="22" t="n">
        <v>4213</v>
      </c>
      <c r="D21" s="22" t="n">
        <v>1363</v>
      </c>
      <c r="E21" s="22" t="n">
        <v>1.3</v>
      </c>
      <c r="F21" s="22" t="n">
        <v>89.90000000000001</v>
      </c>
    </row>
    <row r="22">
      <c r="A22" s="21" t="inlineStr">
        <is>
          <t>PAN HAMBURGUESA X 4 UNI.NINO</t>
        </is>
      </c>
      <c r="B22" s="22" t="n">
        <v>5446910</v>
      </c>
      <c r="C22" s="22" t="n">
        <v>3714</v>
      </c>
      <c r="D22" s="22" t="n">
        <v>1456</v>
      </c>
      <c r="E22" s="22" t="n">
        <v>1.3</v>
      </c>
      <c r="F22" s="22" t="n">
        <v>91.2</v>
      </c>
    </row>
    <row r="23">
      <c r="A23" s="21" t="inlineStr">
        <is>
          <t>TORTAS X 12U.</t>
        </is>
      </c>
      <c r="B23" s="22" t="n">
        <v>4629300</v>
      </c>
      <c r="C23" s="22" t="n">
        <v>1810</v>
      </c>
      <c r="D23" s="22" t="n">
        <v>2564</v>
      </c>
      <c r="E23" s="22" t="n">
        <v>1.1</v>
      </c>
      <c r="F23" s="22" t="n">
        <v>92.3</v>
      </c>
    </row>
    <row r="24">
      <c r="A24" s="21" t="inlineStr">
        <is>
          <t>PAN DE LOMO NINO  X 2 UNID</t>
        </is>
      </c>
      <c r="B24" s="22" t="n">
        <v>3562850</v>
      </c>
      <c r="C24" s="22" t="n">
        <v>2179</v>
      </c>
      <c r="D24" s="22" t="n">
        <v>1626</v>
      </c>
      <c r="E24" s="22" t="n">
        <v>0.8</v>
      </c>
      <c r="F24" s="22" t="n">
        <v>93.09999999999999</v>
      </c>
    </row>
    <row r="25">
      <c r="A25" s="21" t="inlineStr">
        <is>
          <t>TORTAS X 1U.</t>
        </is>
      </c>
      <c r="B25" s="22" t="n">
        <v>2983815</v>
      </c>
      <c r="C25" s="22" t="n">
        <v>12198</v>
      </c>
      <c r="D25" s="22" t="n">
        <v>243</v>
      </c>
      <c r="E25" s="22" t="n">
        <v>0.7</v>
      </c>
      <c r="F25" s="22" t="n">
        <v>93.8</v>
      </c>
    </row>
    <row r="26">
      <c r="A26" s="21" t="inlineStr">
        <is>
          <t>PAN DULCE NINO ESP.X500 GR</t>
        </is>
      </c>
      <c r="B26" s="22" t="n">
        <v>2957284</v>
      </c>
      <c r="C26" s="22" t="n">
        <v>513</v>
      </c>
      <c r="D26" s="22" t="n">
        <v>5601</v>
      </c>
      <c r="E26" s="22" t="n">
        <v>0.7</v>
      </c>
      <c r="F26" s="22" t="n">
        <v>94.5</v>
      </c>
    </row>
    <row r="27">
      <c r="A27" s="5" t="inlineStr">
        <is>
          <t>PAN SUPER PANCHO NINO X 6 UN.</t>
        </is>
      </c>
      <c r="B27" s="6" t="n">
        <v>2617485</v>
      </c>
      <c r="C27" s="6" t="n">
        <v>1585</v>
      </c>
      <c r="D27" s="6" t="n">
        <v>1650</v>
      </c>
      <c r="E27" s="6" t="n">
        <v>0.6</v>
      </c>
      <c r="F27" s="6" t="n">
        <v>95.09999999999999</v>
      </c>
    </row>
    <row r="28">
      <c r="A28" s="5" t="inlineStr">
        <is>
          <t>PAN DE PECETO NINO</t>
        </is>
      </c>
      <c r="B28" s="6" t="n">
        <v>2439000</v>
      </c>
      <c r="C28" s="6" t="n">
        <v>14504</v>
      </c>
      <c r="D28" s="6" t="n">
        <v>166</v>
      </c>
      <c r="E28" s="6" t="n">
        <v>0.6</v>
      </c>
      <c r="F28" s="6" t="n">
        <v>95.59999999999999</v>
      </c>
    </row>
    <row r="29">
      <c r="A29" s="5" t="inlineStr">
        <is>
          <t>PAN NINO NUTRITIVO C/SEMILLAS KG</t>
        </is>
      </c>
      <c r="B29" s="6" t="n">
        <v>2372578</v>
      </c>
      <c r="C29" s="32" t="n">
        <v>83</v>
      </c>
      <c r="D29" s="6" t="n">
        <v>5786</v>
      </c>
      <c r="E29" s="6" t="n">
        <v>0.6</v>
      </c>
      <c r="F29" s="6" t="n">
        <v>96.2</v>
      </c>
    </row>
    <row r="30">
      <c r="A30" s="5" t="inlineStr">
        <is>
          <t>ARCOR PAN DULCE C/FRUTAS X 400GRS</t>
        </is>
      </c>
      <c r="B30" s="6" t="n">
        <v>2139039</v>
      </c>
      <c r="C30" s="6" t="n">
        <v>417</v>
      </c>
      <c r="D30" s="6" t="n">
        <v>4913</v>
      </c>
      <c r="E30" s="6" t="n">
        <v>0.5</v>
      </c>
      <c r="F30" s="6" t="n">
        <v>96.7</v>
      </c>
    </row>
    <row r="31">
      <c r="A31" s="5" t="inlineStr">
        <is>
          <t>LOMO X METRO NINO</t>
        </is>
      </c>
      <c r="B31" s="6" t="n">
        <v>1940750</v>
      </c>
      <c r="C31" s="6" t="n">
        <v>815</v>
      </c>
      <c r="D31" s="6" t="n">
        <v>2383</v>
      </c>
      <c r="E31" s="6" t="n">
        <v>0.5</v>
      </c>
      <c r="F31" s="6" t="n">
        <v>97.09999999999999</v>
      </c>
    </row>
    <row r="32">
      <c r="A32" s="5" t="inlineStr">
        <is>
          <t>SALVADO OFERTA</t>
        </is>
      </c>
      <c r="B32" s="6" t="n">
        <v>1633093</v>
      </c>
      <c r="C32" s="6" t="n">
        <v>288</v>
      </c>
      <c r="D32" s="6" t="n">
        <v>2474</v>
      </c>
      <c r="E32" s="6" t="n">
        <v>0.4</v>
      </c>
      <c r="F32" s="6" t="n">
        <v>97.5</v>
      </c>
    </row>
    <row r="33">
      <c r="A33" s="5" t="inlineStr">
        <is>
          <t>ROSCA NINO CON CHIP DE CHOCOLATE</t>
        </is>
      </c>
      <c r="B33" s="6" t="n">
        <v>1556100</v>
      </c>
      <c r="C33" s="6" t="n">
        <v>399</v>
      </c>
      <c r="D33" s="6" t="n">
        <v>3842</v>
      </c>
      <c r="E33" s="6" t="n">
        <v>0.4</v>
      </c>
      <c r="F33" s="6" t="n">
        <v>97.90000000000001</v>
      </c>
    </row>
    <row r="34">
      <c r="A34" s="5" t="inlineStr">
        <is>
          <t>FAC.ESPECIALES X 1 U</t>
        </is>
      </c>
      <c r="B34" s="6" t="n">
        <v>1381370</v>
      </c>
      <c r="C34" s="6" t="n">
        <v>3561</v>
      </c>
      <c r="D34" s="6" t="n">
        <v>382</v>
      </c>
      <c r="E34" s="6" t="n">
        <v>0.3</v>
      </c>
      <c r="F34" s="6" t="n">
        <v>98.2</v>
      </c>
    </row>
    <row r="35">
      <c r="A35" s="5" t="inlineStr">
        <is>
          <t>SACRAMENTOS DE OFERTA X 6</t>
        </is>
      </c>
      <c r="B35" s="6" t="n">
        <v>1259850</v>
      </c>
      <c r="C35" s="6" t="n">
        <v>899</v>
      </c>
      <c r="D35" s="6" t="n">
        <v>1371</v>
      </c>
      <c r="E35" s="6" t="n">
        <v>0.3</v>
      </c>
      <c r="F35" s="6" t="n">
        <v>98.5</v>
      </c>
    </row>
    <row r="36">
      <c r="A36" s="5" t="inlineStr">
        <is>
          <t>TORTAS NINOX 12U.</t>
        </is>
      </c>
      <c r="B36" s="6" t="n">
        <v>1059900</v>
      </c>
      <c r="C36" s="6" t="n">
        <v>320</v>
      </c>
      <c r="D36" s="6" t="n">
        <v>3289</v>
      </c>
      <c r="E36" s="6" t="n">
        <v>0.2</v>
      </c>
      <c r="F36" s="6" t="n">
        <v>98.7</v>
      </c>
    </row>
    <row r="37">
      <c r="A37" s="5" t="inlineStr">
        <is>
          <t>TORTA MATERA NINO</t>
        </is>
      </c>
      <c r="B37" s="6" t="n">
        <v>832710</v>
      </c>
      <c r="C37" s="6" t="n">
        <v>183</v>
      </c>
      <c r="D37" s="6" t="n">
        <v>7681</v>
      </c>
      <c r="E37" s="6" t="n">
        <v>0.2</v>
      </c>
      <c r="F37" s="6" t="n">
        <v>98.90000000000001</v>
      </c>
    </row>
    <row r="38">
      <c r="A38" s="5" t="inlineStr">
        <is>
          <t>SACRAMENTO X 1</t>
        </is>
      </c>
      <c r="B38" s="6" t="n">
        <v>752020</v>
      </c>
      <c r="C38" s="6" t="n">
        <v>2795</v>
      </c>
      <c r="D38" s="6" t="n">
        <v>268</v>
      </c>
      <c r="E38" s="6" t="n">
        <v>0.2</v>
      </c>
      <c r="F38" s="6" t="n">
        <v>99.09999999999999</v>
      </c>
    </row>
    <row r="39">
      <c r="A39" s="5" t="inlineStr">
        <is>
          <t>PAN DULCE NINO CLASICO ECONOMICO</t>
        </is>
      </c>
      <c r="B39" s="6" t="n">
        <v>698010</v>
      </c>
      <c r="C39" s="6" t="n">
        <v>439</v>
      </c>
      <c r="D39" s="6" t="n">
        <v>1547</v>
      </c>
      <c r="E39" s="6" t="n">
        <v>0.2</v>
      </c>
      <c r="F39" s="6" t="n">
        <v>99.3</v>
      </c>
    </row>
    <row r="40">
      <c r="A40" s="5" t="inlineStr">
        <is>
          <t>SACRAMENTO X 12</t>
        </is>
      </c>
      <c r="B40" s="6" t="n">
        <v>481150</v>
      </c>
      <c r="C40" s="6" t="n">
        <v>154</v>
      </c>
      <c r="D40" s="6" t="n">
        <v>3118</v>
      </c>
      <c r="E40" s="6" t="n">
        <v>0.1</v>
      </c>
      <c r="F40" s="6" t="n">
        <v>99.40000000000001</v>
      </c>
    </row>
    <row r="41">
      <c r="A41" s="5" t="inlineStr">
        <is>
          <t>SURE PAN DE MIGA X50 PARA 100 SANDWICHS</t>
        </is>
      </c>
      <c r="B41" s="6" t="n">
        <v>442000</v>
      </c>
      <c r="C41" s="32" t="n">
        <v>34</v>
      </c>
      <c r="D41" s="6" t="n">
        <v>13000</v>
      </c>
      <c r="E41" s="6" t="n">
        <v>0.1</v>
      </c>
      <c r="F41" s="6" t="n">
        <v>99.5</v>
      </c>
    </row>
    <row r="42">
      <c r="A42" s="5" t="inlineStr">
        <is>
          <t>MINIFACTURAS NINO</t>
        </is>
      </c>
      <c r="B42" s="6" t="n">
        <v>399216</v>
      </c>
      <c r="C42" s="32" t="n">
        <v>85</v>
      </c>
      <c r="D42" s="6" t="n">
        <v>4558</v>
      </c>
      <c r="E42" s="6" t="n">
        <v>0.1</v>
      </c>
      <c r="F42" s="6" t="n">
        <v>99.59999999999999</v>
      </c>
    </row>
    <row r="43">
      <c r="A43" s="5" t="inlineStr">
        <is>
          <t>FAC. ESPECIALES X 12U</t>
        </is>
      </c>
      <c r="B43" s="6" t="n">
        <v>374760</v>
      </c>
      <c r="C43" s="32" t="n">
        <v>85</v>
      </c>
      <c r="D43" s="6" t="n">
        <v>4425</v>
      </c>
      <c r="E43" s="6" t="n">
        <v>0.1</v>
      </c>
      <c r="F43" s="6" t="n">
        <v>99.7</v>
      </c>
    </row>
    <row r="44">
      <c r="A44" s="5" t="inlineStr">
        <is>
          <t>PAN MIÑON SEPARADO NINO</t>
        </is>
      </c>
      <c r="B44" s="6" t="n">
        <v>331640</v>
      </c>
      <c r="C44" s="6" t="n">
        <v>120</v>
      </c>
      <c r="D44" s="6" t="n">
        <v>2451</v>
      </c>
      <c r="E44" s="6" t="n">
        <v>0.1</v>
      </c>
      <c r="F44" s="6" t="n">
        <v>99.7</v>
      </c>
    </row>
    <row r="45">
      <c r="A45" s="5" t="inlineStr">
        <is>
          <t>ARCOR PAN DULCE C/CHIPS X 400GRS</t>
        </is>
      </c>
      <c r="B45" s="6" t="n">
        <v>256392</v>
      </c>
      <c r="C45" s="32" t="n">
        <v>42</v>
      </c>
      <c r="D45" s="6" t="n">
        <v>5827</v>
      </c>
      <c r="E45" s="6" t="n">
        <v>0.1</v>
      </c>
      <c r="F45" s="6" t="n">
        <v>99.8</v>
      </c>
    </row>
    <row r="46">
      <c r="A46" s="5" t="inlineStr">
        <is>
          <t>ARCOR PAN DULCE C/ALMENDRAS X 400GRS</t>
        </is>
      </c>
      <c r="B46" s="6" t="n">
        <v>211752</v>
      </c>
      <c r="C46" s="32" t="n">
        <v>36</v>
      </c>
      <c r="D46" s="6" t="n">
        <v>5882</v>
      </c>
      <c r="E46" s="6" t="n">
        <v>0</v>
      </c>
      <c r="F46" s="6" t="n">
        <v>99.8</v>
      </c>
    </row>
    <row r="47">
      <c r="A47" s="5" t="inlineStr">
        <is>
          <t>MINI DONAS NINO</t>
        </is>
      </c>
      <c r="B47" s="6" t="n">
        <v>181419</v>
      </c>
      <c r="C47" s="32" t="n">
        <v>11</v>
      </c>
      <c r="D47" s="6" t="n">
        <v>15041</v>
      </c>
      <c r="E47" s="6" t="n">
        <v>0</v>
      </c>
      <c r="F47" s="6" t="n">
        <v>99.90000000000001</v>
      </c>
    </row>
    <row r="48">
      <c r="A48" s="5" t="inlineStr">
        <is>
          <t>ARCOR PAN DULCE C/FRUTAS X 600GRS</t>
        </is>
      </c>
      <c r="B48" s="6" t="n">
        <v>95232</v>
      </c>
      <c r="C48" s="32" t="n">
        <v>12</v>
      </c>
      <c r="D48" s="6" t="n">
        <v>7936</v>
      </c>
      <c r="E48" s="6" t="n">
        <v>0</v>
      </c>
      <c r="F48" s="6" t="n">
        <v>99.90000000000001</v>
      </c>
    </row>
    <row r="49">
      <c r="A49" s="5" t="inlineStr">
        <is>
          <t>PAN NINO PECETO SABORIZADO</t>
        </is>
      </c>
      <c r="B49" s="6" t="n">
        <v>77655</v>
      </c>
      <c r="C49" s="6" t="n">
        <v>471</v>
      </c>
      <c r="D49" s="6" t="n">
        <v>170</v>
      </c>
      <c r="E49" s="6" t="n">
        <v>0</v>
      </c>
      <c r="F49" s="6" t="n">
        <v>99.90000000000001</v>
      </c>
    </row>
    <row r="50">
      <c r="A50" s="5" t="inlineStr">
        <is>
          <t>SOPAIPILLAS NINO</t>
        </is>
      </c>
      <c r="B50" s="6" t="n">
        <v>76760</v>
      </c>
      <c r="C50" s="6" t="n">
        <v>202</v>
      </c>
      <c r="D50" s="6" t="n">
        <v>380</v>
      </c>
      <c r="E50" s="6" t="n">
        <v>0</v>
      </c>
      <c r="F50" s="6" t="n">
        <v>99.90000000000001</v>
      </c>
    </row>
    <row r="51">
      <c r="A51" s="5" t="inlineStr">
        <is>
          <t>ARCOR PAN DULCE C/FRUTOS SECOS CAJAX700G</t>
        </is>
      </c>
      <c r="B51" s="6" t="n">
        <v>60685</v>
      </c>
      <c r="C51" s="32" t="n">
        <v>5</v>
      </c>
      <c r="D51" s="6" t="n">
        <v>12137</v>
      </c>
      <c r="E51" s="6" t="n">
        <v>0</v>
      </c>
      <c r="F51" s="6" t="n">
        <v>100</v>
      </c>
    </row>
    <row r="52">
      <c r="A52" s="5" t="inlineStr">
        <is>
          <t>PIZZETITAS NINO</t>
        </is>
      </c>
      <c r="B52" s="6" t="n">
        <v>44040</v>
      </c>
      <c r="C52" s="6" t="n">
        <v>294</v>
      </c>
      <c r="D52" s="6" t="n">
        <v>144</v>
      </c>
      <c r="E52" s="6" t="n">
        <v>0</v>
      </c>
      <c r="F52" s="6" t="n">
        <v>100</v>
      </c>
    </row>
    <row r="53">
      <c r="A53" s="5" t="inlineStr">
        <is>
          <t>WAFFLES NINO</t>
        </is>
      </c>
      <c r="B53" s="6" t="n">
        <v>40784</v>
      </c>
      <c r="C53" s="32" t="n">
        <v>3</v>
      </c>
      <c r="D53" s="6" t="n">
        <v>15900</v>
      </c>
      <c r="E53" s="6" t="n">
        <v>0</v>
      </c>
      <c r="F53" s="6" t="n">
        <v>100</v>
      </c>
    </row>
    <row r="54">
      <c r="A54" s="5" t="inlineStr">
        <is>
          <t>PAN CIABATTA X 2 U</t>
        </is>
      </c>
      <c r="B54" s="6" t="n">
        <v>39900</v>
      </c>
      <c r="C54" s="32" t="n">
        <v>19</v>
      </c>
      <c r="D54" s="6" t="n">
        <v>2100</v>
      </c>
      <c r="E54" s="6" t="n">
        <v>0</v>
      </c>
      <c r="F54" s="6" t="n">
        <v>100</v>
      </c>
    </row>
    <row r="55">
      <c r="A55" s="5" t="inlineStr">
        <is>
          <t>TARTA BANANA SPLIT  NINO</t>
        </is>
      </c>
      <c r="B55" s="6" t="n">
        <v>15325</v>
      </c>
      <c r="C55" s="32" t="n">
        <v>1</v>
      </c>
      <c r="D55" s="6" t="n">
        <v>14595</v>
      </c>
      <c r="E55" s="6" t="n">
        <v>0</v>
      </c>
      <c r="F55" s="6" t="n">
        <v>100</v>
      </c>
    </row>
    <row r="56">
      <c r="A56" s="5" t="inlineStr">
        <is>
          <t>MINI LIBRE REPOSTER</t>
        </is>
      </c>
      <c r="B56" s="6" t="n">
        <v>11200</v>
      </c>
      <c r="C56" s="32" t="n">
        <v>7</v>
      </c>
      <c r="D56" s="6" t="n">
        <v>1600</v>
      </c>
      <c r="E56" s="6" t="n">
        <v>0</v>
      </c>
      <c r="F56" s="6" t="n">
        <v>100</v>
      </c>
    </row>
    <row r="57">
      <c r="A57" s="5" t="inlineStr">
        <is>
          <t>PAN CIABATTA NINO</t>
        </is>
      </c>
      <c r="B57" s="6" t="n">
        <v>9900</v>
      </c>
      <c r="C57" s="32" t="n">
        <v>1</v>
      </c>
      <c r="D57" s="6" t="n">
        <v>10000</v>
      </c>
      <c r="E57" s="6" t="n">
        <v>0</v>
      </c>
      <c r="F57" s="6" t="n">
        <v>100</v>
      </c>
    </row>
    <row r="58">
      <c r="A58" s="5" t="inlineStr">
        <is>
          <t>NINO DISCO EMPANADA P/COPETIN 12UN</t>
        </is>
      </c>
      <c r="B58" s="6" t="n">
        <v>6900</v>
      </c>
      <c r="C58" s="32" t="n">
        <v>6</v>
      </c>
      <c r="D58" s="6" t="n">
        <v>105</v>
      </c>
      <c r="E58" s="6" t="n">
        <v>0</v>
      </c>
      <c r="F58" s="6" t="n">
        <v>100</v>
      </c>
    </row>
    <row r="59">
      <c r="A59" s="5" t="inlineStr">
        <is>
          <t>TORTA CHOCOTORTA ESPECIAL NINO</t>
        </is>
      </c>
      <c r="B59" s="6" t="n">
        <v>231</v>
      </c>
      <c r="C59" s="32" t="n">
        <v>0</v>
      </c>
      <c r="D59" s="6" t="n">
        <v>23100</v>
      </c>
      <c r="E59" s="6" t="n">
        <v>0</v>
      </c>
      <c r="F59" s="6" t="n">
        <v>100</v>
      </c>
    </row>
    <row r="60">
      <c r="A60" s="5" t="inlineStr">
        <is>
          <t>TORTAS SURTIDAS X 6 UNI.</t>
        </is>
      </c>
      <c r="B60" s="32" t="n">
        <v>0</v>
      </c>
      <c r="C60" s="32" t="n">
        <v>0</v>
      </c>
      <c r="D60" s="32" t="n">
        <v>0</v>
      </c>
      <c r="E60" s="6" t="n">
        <v>0</v>
      </c>
      <c r="F60" s="6" t="n">
        <v>100</v>
      </c>
    </row>
    <row r="62">
      <c r="A62" s="2" t="inlineStr">
        <is>
          <t xml:space="preserve">  Verde = Core (80%) | Amarillo = Complementario (80-95%) | Sin color = Marginal</t>
        </is>
      </c>
    </row>
  </sheetData>
  <mergeCells count="2">
    <mergeCell ref="A1:F1"/>
    <mergeCell ref="A62:F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30" customWidth="1" min="8" max="8"/>
  </cols>
  <sheetData>
    <row r="1">
      <c r="A1" s="1" t="inlineStr">
        <is>
          <t>COSTEO POR RECETA - INSUMOS PANADERIA NINO</t>
        </is>
      </c>
    </row>
    <row r="2">
      <c r="A2" s="2" t="inlineStr">
        <is>
          <t>Precios insumos: sistema POS supermercado NINO x 0.70 (costo mayorista estimado)</t>
        </is>
      </c>
    </row>
    <row r="4">
      <c r="A4" s="3" t="inlineStr">
        <is>
          <t>PRECIOS DE INSUMOS (sistema POS supermercado)</t>
        </is>
      </c>
    </row>
    <row r="5">
      <c r="A5" s="4" t="inlineStr">
        <is>
          <t>Insumo</t>
        </is>
      </c>
      <c r="B5" s="4" t="inlineStr">
        <is>
          <t>Precio Retail</t>
        </is>
      </c>
      <c r="C5" s="4" t="inlineStr">
        <is>
          <t>Unidad</t>
        </is>
      </c>
      <c r="D5" s="4" t="inlineStr">
        <is>
          <t>Costo Est. (x0.70)</t>
        </is>
      </c>
      <c r="E5" s="4" t="inlineStr"/>
      <c r="F5" s="4" t="inlineStr"/>
      <c r="G5" s="4" t="inlineStr"/>
      <c r="H5" s="4" t="inlineStr">
        <is>
          <t>Fuente</t>
        </is>
      </c>
    </row>
    <row r="6">
      <c r="A6" s="9" t="inlineStr">
        <is>
          <t>Harina 0000 (Florencia)</t>
        </is>
      </c>
      <c r="B6" s="13" t="n">
        <v>1040</v>
      </c>
      <c r="C6" s="9" t="inlineStr">
        <is>
          <t>$/kg</t>
        </is>
      </c>
      <c r="D6" s="13" t="n">
        <v>728</v>
      </c>
      <c r="E6" s="9" t="inlineStr"/>
      <c r="F6" s="9" t="inlineStr"/>
      <c r="G6" s="9" t="inlineStr"/>
      <c r="H6" s="9" t="inlineStr">
        <is>
          <t>HARINAS - FLORENCIA 0000 1KG</t>
        </is>
      </c>
    </row>
    <row r="7">
      <c r="A7" s="9" t="inlineStr">
        <is>
          <t>Harina 000 (Florencia)</t>
        </is>
      </c>
      <c r="B7" s="13" t="n">
        <v>750</v>
      </c>
      <c r="C7" s="9" t="inlineStr">
        <is>
          <t>$/kg</t>
        </is>
      </c>
      <c r="D7" s="13" t="n">
        <v>525</v>
      </c>
      <c r="E7" s="9" t="inlineStr"/>
      <c r="F7" s="9" t="inlineStr"/>
      <c r="G7" s="9" t="inlineStr"/>
      <c r="H7" s="9" t="inlineStr">
        <is>
          <t>HARINAS - FLORENCIA 000 1KG</t>
        </is>
      </c>
    </row>
    <row r="8">
      <c r="A8" s="9" t="inlineStr">
        <is>
          <t>Harina integral (Pureza)</t>
        </is>
      </c>
      <c r="B8" s="13" t="n">
        <v>1650</v>
      </c>
      <c r="C8" s="9" t="inlineStr">
        <is>
          <t>$/kg</t>
        </is>
      </c>
      <c r="D8" s="13" t="n">
        <v>1155</v>
      </c>
      <c r="E8" s="9" t="inlineStr"/>
      <c r="F8" s="9" t="inlineStr"/>
      <c r="G8" s="9" t="inlineStr"/>
      <c r="H8" s="9" t="inlineStr">
        <is>
          <t>HARINAS - PUREZA INTEGRAL 1KG</t>
        </is>
      </c>
    </row>
    <row r="9">
      <c r="A9" s="9" t="inlineStr">
        <is>
          <t>Manteca (SYS 200g)</t>
        </is>
      </c>
      <c r="B9" s="13" t="n">
        <v>11250</v>
      </c>
      <c r="C9" s="9" t="inlineStr">
        <is>
          <t>$/kg</t>
        </is>
      </c>
      <c r="D9" s="13" t="n">
        <v>7875</v>
      </c>
      <c r="E9" s="9" t="inlineStr"/>
      <c r="F9" s="9" t="inlineStr"/>
      <c r="G9" s="9" t="inlineStr"/>
      <c r="H9" s="9" t="inlineStr">
        <is>
          <t>LACTEOS - SYS MANTECA ($2,250/200g)</t>
        </is>
      </c>
    </row>
    <row r="10">
      <c r="A10" s="9" t="inlineStr">
        <is>
          <t>Grasa vacuna (Swift 1kg)</t>
        </is>
      </c>
      <c r="B10" s="13" t="n">
        <v>4290</v>
      </c>
      <c r="C10" s="9" t="inlineStr">
        <is>
          <t>$/kg</t>
        </is>
      </c>
      <c r="D10" s="13" t="n">
        <v>3003</v>
      </c>
      <c r="E10" s="9" t="inlineStr"/>
      <c r="F10" s="9" t="inlineStr"/>
      <c r="G10" s="9" t="inlineStr"/>
      <c r="H10" s="9" t="inlineStr">
        <is>
          <t>CARNICERIA - SWIFT GRASA VACUNA 1KG</t>
        </is>
      </c>
    </row>
    <row r="11">
      <c r="A11" s="9" t="inlineStr">
        <is>
          <t>Azucar (Ledesma 1kg)</t>
        </is>
      </c>
      <c r="B11" s="13" t="n">
        <v>1150</v>
      </c>
      <c r="C11" s="9" t="inlineStr">
        <is>
          <t>$/kg</t>
        </is>
      </c>
      <c r="D11" s="13" t="n">
        <v>805</v>
      </c>
      <c r="E11" s="9" t="inlineStr"/>
      <c r="F11" s="9" t="inlineStr"/>
      <c r="G11" s="9" t="inlineStr"/>
      <c r="H11" s="9" t="inlineStr">
        <is>
          <t>1RA NECESIDAD - LEDESMA 1KG</t>
        </is>
      </c>
    </row>
    <row r="12">
      <c r="A12" s="9" t="inlineStr">
        <is>
          <t>Levadura prensada (Virgen)</t>
        </is>
      </c>
      <c r="B12" s="13" t="n">
        <v>11160</v>
      </c>
      <c r="C12" s="9" t="inlineStr">
        <is>
          <t>$/kg</t>
        </is>
      </c>
      <c r="D12" s="13" t="n">
        <v>7812</v>
      </c>
      <c r="E12" s="9" t="inlineStr"/>
      <c r="F12" s="9" t="inlineStr"/>
      <c r="G12" s="9" t="inlineStr"/>
      <c r="H12" s="9" t="inlineStr">
        <is>
          <t>REFRIGERADOS - VIRGEN 500G ($5,580)</t>
        </is>
      </c>
    </row>
    <row r="13">
      <c r="A13" s="9" t="inlineStr">
        <is>
          <t>Huevos x6</t>
        </is>
      </c>
      <c r="B13" s="13" t="n">
        <v>1750</v>
      </c>
      <c r="C13" s="9" t="inlineStr">
        <is>
          <t>$/6u</t>
        </is>
      </c>
      <c r="D13" s="13" t="n">
        <v>1225</v>
      </c>
      <c r="E13" s="9" t="inlineStr"/>
      <c r="F13" s="9" t="inlineStr"/>
      <c r="G13" s="9" t="inlineStr"/>
      <c r="H13" s="9" t="inlineStr">
        <is>
          <t>HUEVOS FRESCOS X 6U</t>
        </is>
      </c>
    </row>
    <row r="14">
      <c r="A14" s="9" t="inlineStr">
        <is>
          <t>Huevos maple 30u</t>
        </is>
      </c>
      <c r="B14" s="13" t="n">
        <v>7400</v>
      </c>
      <c r="C14" s="9" t="inlineStr">
        <is>
          <t>$/30u</t>
        </is>
      </c>
      <c r="D14" s="13" t="n">
        <v>5180</v>
      </c>
      <c r="E14" s="9" t="inlineStr"/>
      <c r="F14" s="9" t="inlineStr"/>
      <c r="G14" s="9" t="inlineStr"/>
      <c r="H14" s="9" t="inlineStr">
        <is>
          <t>HUEVOS MAPLE COLOR NINO 30U</t>
        </is>
      </c>
    </row>
    <row r="15">
      <c r="A15" s="9" t="inlineStr">
        <is>
          <t>Sal fina (Dos Anclas 500g)</t>
        </is>
      </c>
      <c r="B15" s="13" t="n">
        <v>2200</v>
      </c>
      <c r="C15" s="9" t="inlineStr">
        <is>
          <t>$/kg</t>
        </is>
      </c>
      <c r="D15" s="13" t="n">
        <v>1540</v>
      </c>
      <c r="E15" s="9" t="inlineStr"/>
      <c r="F15" s="9" t="inlineStr"/>
      <c r="G15" s="9" t="inlineStr"/>
      <c r="H15" s="9" t="inlineStr">
        <is>
          <t>ALMACEN - DOS ANCLAS ($1,100/500g)</t>
        </is>
      </c>
    </row>
    <row r="16">
      <c r="A16" s="9" t="inlineStr">
        <is>
          <t>Dulce de leche (Sta Maria 1kg)</t>
        </is>
      </c>
      <c r="B16" s="13" t="n">
        <v>5000</v>
      </c>
      <c r="C16" s="9" t="inlineStr">
        <is>
          <t>$/kg</t>
        </is>
      </c>
      <c r="D16" s="13" t="n">
        <v>3500</v>
      </c>
      <c r="E16" s="9" t="inlineStr"/>
      <c r="F16" s="9" t="inlineStr"/>
      <c r="G16" s="9" t="inlineStr"/>
      <c r="H16" s="9" t="inlineStr">
        <is>
          <t>DULCES - STA MARIA 1KG</t>
        </is>
      </c>
    </row>
    <row r="17">
      <c r="A17" s="9" t="inlineStr">
        <is>
          <t>Dulce de membrillo (D. Francisco)</t>
        </is>
      </c>
      <c r="B17" s="13" t="n">
        <v>3590</v>
      </c>
      <c r="C17" s="9" t="inlineStr">
        <is>
          <t>$/kg</t>
        </is>
      </c>
      <c r="D17" s="13" t="n">
        <v>2513</v>
      </c>
      <c r="E17" s="9" t="inlineStr"/>
      <c r="F17" s="9" t="inlineStr"/>
      <c r="G17" s="9" t="inlineStr"/>
      <c r="H17" s="9" t="inlineStr">
        <is>
          <t>DULCES - DON FRANCISCO</t>
        </is>
      </c>
    </row>
    <row r="18">
      <c r="A18" s="9" t="inlineStr">
        <is>
          <t>Aceite girasol (Natura 900ml)</t>
        </is>
      </c>
      <c r="B18" s="13" t="n">
        <v>4111</v>
      </c>
      <c r="C18" s="9" t="inlineStr">
        <is>
          <t>$/L</t>
        </is>
      </c>
      <c r="D18" s="13" t="n">
        <v>2878</v>
      </c>
      <c r="E18" s="9" t="inlineStr"/>
      <c r="F18" s="9" t="inlineStr"/>
      <c r="G18" s="9" t="inlineStr"/>
      <c r="H18" s="9" t="inlineStr">
        <is>
          <t>ACEITES - NATURA 900ML ($3,700)</t>
        </is>
      </c>
    </row>
    <row r="19">
      <c r="A19" s="9" t="inlineStr">
        <is>
          <t>Leche sachet (Serenisima 1L)</t>
        </is>
      </c>
      <c r="B19" s="13" t="n">
        <v>1500</v>
      </c>
      <c r="C19" s="9" t="inlineStr">
        <is>
          <t>$/L</t>
        </is>
      </c>
      <c r="D19" s="13" t="n">
        <v>1050</v>
      </c>
      <c r="E19" s="9" t="inlineStr"/>
      <c r="F19" s="9" t="inlineStr"/>
      <c r="G19" s="9" t="inlineStr"/>
      <c r="H19" s="9" t="inlineStr">
        <is>
          <t>LACTEOS - SERENISIMA SACHET 1L</t>
        </is>
      </c>
    </row>
    <row r="21">
      <c r="A21" s="3" t="inlineStr">
        <is>
          <t>COSTEO POR RECETA</t>
        </is>
      </c>
    </row>
    <row r="22">
      <c r="A22" s="4" t="inlineStr">
        <is>
          <t>Producto / Insumo</t>
        </is>
      </c>
      <c r="B22" s="4" t="inlineStr">
        <is>
          <t>Cantidad</t>
        </is>
      </c>
      <c r="C22" s="4" t="inlineStr">
        <is>
          <t>Unidad</t>
        </is>
      </c>
      <c r="D22" s="4" t="inlineStr">
        <is>
          <t>Precio Retail</t>
        </is>
      </c>
      <c r="E22" s="4" t="inlineStr">
        <is>
          <t>Costo (x0.70)</t>
        </is>
      </c>
      <c r="F22" s="4" t="inlineStr">
        <is>
          <t>PVP</t>
        </is>
      </c>
      <c r="G22" s="4" t="inlineStr">
        <is>
          <t>Margen %</t>
        </is>
      </c>
      <c r="H22" s="4" t="inlineStr">
        <is>
          <t>% Ventas panad.</t>
        </is>
      </c>
    </row>
    <row r="23">
      <c r="A23" s="35" t="inlineStr">
        <is>
          <t>TORTAS NINO x6 (facturas)</t>
        </is>
      </c>
      <c r="B23" s="35" t="inlineStr"/>
      <c r="C23" s="35" t="inlineStr"/>
      <c r="D23" s="35" t="inlineStr"/>
      <c r="E23" s="35" t="inlineStr"/>
      <c r="F23" s="36" t="n">
        <v>1663</v>
      </c>
      <c r="G23" s="35" t="inlineStr"/>
      <c r="H23" s="35" t="inlineStr">
        <is>
          <t>20.9%</t>
        </is>
      </c>
    </row>
    <row r="24">
      <c r="A24" s="9" t="inlineStr">
        <is>
          <t xml:space="preserve">  Harina 0000</t>
        </is>
      </c>
      <c r="B24" s="13" t="n">
        <v>0.2</v>
      </c>
      <c r="C24" s="9" t="inlineStr">
        <is>
          <t>kg</t>
        </is>
      </c>
      <c r="D24" s="13" t="n">
        <v>208</v>
      </c>
      <c r="E24" s="13" t="n">
        <v>146</v>
      </c>
      <c r="F24" s="9" t="inlineStr"/>
      <c r="G24" s="9" t="inlineStr"/>
      <c r="H24" s="9" t="inlineStr"/>
    </row>
    <row r="25">
      <c r="A25" s="9" t="inlineStr">
        <is>
          <t xml:space="preserve">  Grasa vacuna</t>
        </is>
      </c>
      <c r="B25" s="13" t="n">
        <v>0.1</v>
      </c>
      <c r="C25" s="9" t="inlineStr">
        <is>
          <t>kg</t>
        </is>
      </c>
      <c r="D25" s="13" t="n">
        <v>429</v>
      </c>
      <c r="E25" s="13" t="n">
        <v>300</v>
      </c>
      <c r="F25" s="9" t="inlineStr"/>
      <c r="G25" s="9" t="inlineStr"/>
      <c r="H25" s="9" t="inlineStr"/>
    </row>
    <row r="26">
      <c r="A26" s="9" t="inlineStr">
        <is>
          <t xml:space="preserve">  Azucar</t>
        </is>
      </c>
      <c r="B26" s="13" t="n">
        <v>0.03</v>
      </c>
      <c r="C26" s="9" t="inlineStr">
        <is>
          <t>kg</t>
        </is>
      </c>
      <c r="D26" s="14" t="n">
        <v>34</v>
      </c>
      <c r="E26" s="14" t="n">
        <v>24</v>
      </c>
      <c r="F26" s="9" t="inlineStr"/>
      <c r="G26" s="9" t="inlineStr"/>
      <c r="H26" s="9" t="inlineStr"/>
    </row>
    <row r="27">
      <c r="A27" s="9" t="inlineStr">
        <is>
          <t xml:space="preserve">  Levadura prensada</t>
        </is>
      </c>
      <c r="B27" s="13" t="n">
        <v>0.01</v>
      </c>
      <c r="C27" s="9" t="inlineStr">
        <is>
          <t>kg</t>
        </is>
      </c>
      <c r="D27" s="13" t="n">
        <v>112</v>
      </c>
      <c r="E27" s="14" t="n">
        <v>78</v>
      </c>
      <c r="F27" s="9" t="inlineStr"/>
      <c r="G27" s="9" t="inlineStr"/>
      <c r="H27" s="9" t="inlineStr"/>
    </row>
    <row r="28">
      <c r="A28" s="9" t="inlineStr">
        <is>
          <t xml:space="preserve">  Huevo (1/2)</t>
        </is>
      </c>
      <c r="B28" s="13" t="n">
        <v>0.5</v>
      </c>
      <c r="C28" s="9" t="inlineStr">
        <is>
          <t>u</t>
        </is>
      </c>
      <c r="D28" s="13" t="n">
        <v>146</v>
      </c>
      <c r="E28" s="13" t="n">
        <v>102</v>
      </c>
      <c r="F28" s="9" t="inlineStr"/>
      <c r="G28" s="9" t="inlineStr"/>
      <c r="H28" s="9" t="inlineStr"/>
    </row>
    <row r="29">
      <c r="A29" s="9" t="inlineStr">
        <is>
          <t xml:space="preserve">  Sal/esencia</t>
        </is>
      </c>
      <c r="B29" s="14" t="n">
        <v>1</v>
      </c>
      <c r="C29" s="9" t="inlineStr">
        <is>
          <t>lote</t>
        </is>
      </c>
      <c r="D29" s="14" t="n">
        <v>50</v>
      </c>
      <c r="E29" s="14" t="n">
        <v>35</v>
      </c>
      <c r="F29" s="9" t="inlineStr"/>
      <c r="G29" s="9" t="inlineStr"/>
      <c r="H29" s="9" t="inlineStr"/>
    </row>
    <row r="30">
      <c r="A30" s="7" t="inlineStr">
        <is>
          <t xml:space="preserve">  COSTO TOTAL</t>
        </is>
      </c>
      <c r="B30" s="7" t="inlineStr"/>
      <c r="C30" s="7" t="inlineStr"/>
      <c r="D30" s="7" t="inlineStr"/>
      <c r="E30" s="8" t="n">
        <v>685</v>
      </c>
      <c r="F30" s="8" t="n">
        <v>1663</v>
      </c>
      <c r="G30" s="7" t="inlineStr">
        <is>
          <t>59%</t>
        </is>
      </c>
      <c r="H30" s="7" t="inlineStr"/>
    </row>
    <row r="31">
      <c r="A31" s="35" t="inlineStr">
        <is>
          <t>PAN NINO FLAUTA (u)</t>
        </is>
      </c>
      <c r="B31" s="35" t="inlineStr"/>
      <c r="C31" s="35" t="inlineStr"/>
      <c r="D31" s="35" t="inlineStr"/>
      <c r="E31" s="35" t="inlineStr"/>
      <c r="F31" s="36" t="n">
        <v>2200</v>
      </c>
      <c r="G31" s="35" t="inlineStr"/>
      <c r="H31" s="35" t="inlineStr">
        <is>
          <t>16.9%</t>
        </is>
      </c>
    </row>
    <row r="32">
      <c r="A32" s="9" t="inlineStr">
        <is>
          <t xml:space="preserve">  Harina 0000</t>
        </is>
      </c>
      <c r="B32" s="13" t="n">
        <v>0.3</v>
      </c>
      <c r="C32" s="9" t="inlineStr">
        <is>
          <t>kg</t>
        </is>
      </c>
      <c r="D32" s="13" t="n">
        <v>312</v>
      </c>
      <c r="E32" s="13" t="n">
        <v>218</v>
      </c>
      <c r="F32" s="9" t="inlineStr"/>
      <c r="G32" s="9" t="inlineStr"/>
      <c r="H32" s="9" t="inlineStr"/>
    </row>
    <row r="33">
      <c r="A33" s="9" t="inlineStr">
        <is>
          <t xml:space="preserve">  Sal fina</t>
        </is>
      </c>
      <c r="B33" s="13" t="n">
        <v>0.005</v>
      </c>
      <c r="C33" s="9" t="inlineStr">
        <is>
          <t>kg</t>
        </is>
      </c>
      <c r="D33" s="14" t="n">
        <v>11</v>
      </c>
      <c r="E33" s="14" t="n">
        <v>8</v>
      </c>
      <c r="F33" s="9" t="inlineStr"/>
      <c r="G33" s="9" t="inlineStr"/>
      <c r="H33" s="9" t="inlineStr"/>
    </row>
    <row r="34">
      <c r="A34" s="9" t="inlineStr">
        <is>
          <t xml:space="preserve">  Levadura prensada</t>
        </is>
      </c>
      <c r="B34" s="13" t="n">
        <v>0.005</v>
      </c>
      <c r="C34" s="9" t="inlineStr">
        <is>
          <t>kg</t>
        </is>
      </c>
      <c r="D34" s="14" t="n">
        <v>56</v>
      </c>
      <c r="E34" s="14" t="n">
        <v>39</v>
      </c>
      <c r="F34" s="9" t="inlineStr"/>
      <c r="G34" s="9" t="inlineStr"/>
      <c r="H34" s="9" t="inlineStr"/>
    </row>
    <row r="35">
      <c r="A35" s="9" t="inlineStr">
        <is>
          <t xml:space="preserve">  Agua</t>
        </is>
      </c>
      <c r="B35" s="13" t="n">
        <v>0.2</v>
      </c>
      <c r="C35" s="9" t="inlineStr">
        <is>
          <t>L</t>
        </is>
      </c>
      <c r="D35" s="14" t="n">
        <v>0</v>
      </c>
      <c r="E35" s="14" t="n">
        <v>0</v>
      </c>
      <c r="F35" s="9" t="inlineStr"/>
      <c r="G35" s="9" t="inlineStr"/>
      <c r="H35" s="9" t="inlineStr"/>
    </row>
    <row r="36">
      <c r="A36" s="7" t="inlineStr">
        <is>
          <t xml:space="preserve">  COSTO TOTAL</t>
        </is>
      </c>
      <c r="B36" s="7" t="inlineStr"/>
      <c r="C36" s="7" t="inlineStr"/>
      <c r="D36" s="7" t="inlineStr"/>
      <c r="E36" s="8" t="n">
        <v>265</v>
      </c>
      <c r="F36" s="8" t="n">
        <v>2200</v>
      </c>
      <c r="G36" s="7" t="inlineStr">
        <is>
          <t>88%</t>
        </is>
      </c>
      <c r="H36" s="7" t="inlineStr"/>
    </row>
    <row r="37">
      <c r="A37" s="35" t="inlineStr">
        <is>
          <t>PAN NINO MINON (u)</t>
        </is>
      </c>
      <c r="B37" s="35" t="inlineStr"/>
      <c r="C37" s="35" t="inlineStr"/>
      <c r="D37" s="35" t="inlineStr"/>
      <c r="E37" s="35" t="inlineStr"/>
      <c r="F37" s="36" t="n">
        <v>2501</v>
      </c>
      <c r="G37" s="35" t="inlineStr"/>
      <c r="H37" s="35" t="inlineStr">
        <is>
          <t>9.2%</t>
        </is>
      </c>
    </row>
    <row r="38">
      <c r="A38" s="9" t="inlineStr">
        <is>
          <t xml:space="preserve">  Harina 0000</t>
        </is>
      </c>
      <c r="B38" s="13" t="n">
        <v>0.25</v>
      </c>
      <c r="C38" s="9" t="inlineStr">
        <is>
          <t>kg</t>
        </is>
      </c>
      <c r="D38" s="13" t="n">
        <v>260</v>
      </c>
      <c r="E38" s="13" t="n">
        <v>182</v>
      </c>
      <c r="F38" s="9" t="inlineStr"/>
      <c r="G38" s="9" t="inlineStr"/>
      <c r="H38" s="9" t="inlineStr"/>
    </row>
    <row r="39">
      <c r="A39" s="9" t="inlineStr">
        <is>
          <t xml:space="preserve">  Grasa vacuna</t>
        </is>
      </c>
      <c r="B39" s="13" t="n">
        <v>0.03</v>
      </c>
      <c r="C39" s="9" t="inlineStr">
        <is>
          <t>kg</t>
        </is>
      </c>
      <c r="D39" s="13" t="n">
        <v>129</v>
      </c>
      <c r="E39" s="14" t="n">
        <v>90</v>
      </c>
      <c r="F39" s="9" t="inlineStr"/>
      <c r="G39" s="9" t="inlineStr"/>
      <c r="H39" s="9" t="inlineStr"/>
    </row>
    <row r="40">
      <c r="A40" s="9" t="inlineStr">
        <is>
          <t xml:space="preserve">  Sal/levadura</t>
        </is>
      </c>
      <c r="B40" s="14" t="n">
        <v>1</v>
      </c>
      <c r="C40" s="9" t="inlineStr">
        <is>
          <t>lote</t>
        </is>
      </c>
      <c r="D40" s="14" t="n">
        <v>80</v>
      </c>
      <c r="E40" s="14" t="n">
        <v>56</v>
      </c>
      <c r="F40" s="9" t="inlineStr"/>
      <c r="G40" s="9" t="inlineStr"/>
      <c r="H40" s="9" t="inlineStr"/>
    </row>
    <row r="41">
      <c r="A41" s="9" t="inlineStr">
        <is>
          <t xml:space="preserve">  Agua</t>
        </is>
      </c>
      <c r="B41" s="13" t="n">
        <v>0.15</v>
      </c>
      <c r="C41" s="9" t="inlineStr">
        <is>
          <t>L</t>
        </is>
      </c>
      <c r="D41" s="14" t="n">
        <v>0</v>
      </c>
      <c r="E41" s="14" t="n">
        <v>0</v>
      </c>
      <c r="F41" s="9" t="inlineStr"/>
      <c r="G41" s="9" t="inlineStr"/>
      <c r="H41" s="9" t="inlineStr"/>
    </row>
    <row r="42">
      <c r="A42" s="7" t="inlineStr">
        <is>
          <t xml:space="preserve">  COSTO TOTAL</t>
        </is>
      </c>
      <c r="B42" s="7" t="inlineStr"/>
      <c r="C42" s="7" t="inlineStr"/>
      <c r="D42" s="7" t="inlineStr"/>
      <c r="E42" s="8" t="n">
        <v>328</v>
      </c>
      <c r="F42" s="8" t="n">
        <v>2501</v>
      </c>
      <c r="G42" s="7" t="inlineStr">
        <is>
          <t>87%</t>
        </is>
      </c>
      <c r="H42" s="7" t="inlineStr"/>
    </row>
    <row r="43">
      <c r="A43" s="35" t="inlineStr">
        <is>
          <t>SACRAMENTO x6 (facturas)</t>
        </is>
      </c>
      <c r="B43" s="35" t="inlineStr"/>
      <c r="C43" s="35" t="inlineStr"/>
      <c r="D43" s="35" t="inlineStr"/>
      <c r="E43" s="35" t="inlineStr"/>
      <c r="F43" s="36" t="n">
        <v>1760</v>
      </c>
      <c r="G43" s="35" t="inlineStr"/>
      <c r="H43" s="35" t="inlineStr">
        <is>
          <t>7.0%</t>
        </is>
      </c>
    </row>
    <row r="44">
      <c r="A44" s="9" t="inlineStr">
        <is>
          <t xml:space="preserve">  Harina 0000</t>
        </is>
      </c>
      <c r="B44" s="13" t="n">
        <v>0.2</v>
      </c>
      <c r="C44" s="9" t="inlineStr">
        <is>
          <t>kg</t>
        </is>
      </c>
      <c r="D44" s="13" t="n">
        <v>208</v>
      </c>
      <c r="E44" s="13" t="n">
        <v>146</v>
      </c>
      <c r="F44" s="9" t="inlineStr"/>
      <c r="G44" s="9" t="inlineStr"/>
      <c r="H44" s="9" t="inlineStr"/>
    </row>
    <row r="45">
      <c r="A45" s="9" t="inlineStr">
        <is>
          <t xml:space="preserve">  Grasa vacuna</t>
        </is>
      </c>
      <c r="B45" s="13" t="n">
        <v>0.08</v>
      </c>
      <c r="C45" s="9" t="inlineStr">
        <is>
          <t>kg</t>
        </is>
      </c>
      <c r="D45" s="13" t="n">
        <v>343</v>
      </c>
      <c r="E45" s="13" t="n">
        <v>240</v>
      </c>
      <c r="F45" s="9" t="inlineStr"/>
      <c r="G45" s="9" t="inlineStr"/>
      <c r="H45" s="9" t="inlineStr"/>
    </row>
    <row r="46">
      <c r="A46" s="9" t="inlineStr">
        <is>
          <t xml:space="preserve">  Azucar</t>
        </is>
      </c>
      <c r="B46" s="13" t="n">
        <v>0.04</v>
      </c>
      <c r="C46" s="9" t="inlineStr">
        <is>
          <t>kg</t>
        </is>
      </c>
      <c r="D46" s="14" t="n">
        <v>46</v>
      </c>
      <c r="E46" s="14" t="n">
        <v>32</v>
      </c>
      <c r="F46" s="9" t="inlineStr"/>
      <c r="G46" s="9" t="inlineStr"/>
      <c r="H46" s="9" t="inlineStr"/>
    </row>
    <row r="47">
      <c r="A47" s="9" t="inlineStr">
        <is>
          <t xml:space="preserve">  Dulce de membrillo</t>
        </is>
      </c>
      <c r="B47" s="13" t="n">
        <v>0.06</v>
      </c>
      <c r="C47" s="9" t="inlineStr">
        <is>
          <t>kg</t>
        </is>
      </c>
      <c r="D47" s="13" t="n">
        <v>215</v>
      </c>
      <c r="E47" s="13" t="n">
        <v>151</v>
      </c>
      <c r="F47" s="9" t="inlineStr"/>
      <c r="G47" s="9" t="inlineStr"/>
      <c r="H47" s="9" t="inlineStr"/>
    </row>
    <row r="48">
      <c r="A48" s="9" t="inlineStr">
        <is>
          <t xml:space="preserve">  Levadura/sal</t>
        </is>
      </c>
      <c r="B48" s="14" t="n">
        <v>1</v>
      </c>
      <c r="C48" s="9" t="inlineStr">
        <is>
          <t>lote</t>
        </is>
      </c>
      <c r="D48" s="14" t="n">
        <v>80</v>
      </c>
      <c r="E48" s="14" t="n">
        <v>56</v>
      </c>
      <c r="F48" s="9" t="inlineStr"/>
      <c r="G48" s="9" t="inlineStr"/>
      <c r="H48" s="9" t="inlineStr"/>
    </row>
    <row r="49">
      <c r="A49" s="7" t="inlineStr">
        <is>
          <t xml:space="preserve">  COSTO TOTAL</t>
        </is>
      </c>
      <c r="B49" s="7" t="inlineStr"/>
      <c r="C49" s="7" t="inlineStr"/>
      <c r="D49" s="7" t="inlineStr"/>
      <c r="E49" s="8" t="n">
        <v>625</v>
      </c>
      <c r="F49" s="8" t="n">
        <v>1760</v>
      </c>
      <c r="G49" s="7" t="inlineStr">
        <is>
          <t>64%</t>
        </is>
      </c>
      <c r="H49" s="7" t="inlineStr"/>
    </row>
    <row r="50">
      <c r="A50" s="35" t="inlineStr">
        <is>
          <t>FAC. ESPECIALES x6</t>
        </is>
      </c>
      <c r="B50" s="35" t="inlineStr"/>
      <c r="C50" s="35" t="inlineStr"/>
      <c r="D50" s="35" t="inlineStr"/>
      <c r="E50" s="35" t="inlineStr"/>
      <c r="F50" s="36" t="n">
        <v>2511</v>
      </c>
      <c r="G50" s="35" t="inlineStr"/>
      <c r="H50" s="35" t="inlineStr">
        <is>
          <t>6.4%</t>
        </is>
      </c>
    </row>
    <row r="51">
      <c r="A51" s="9" t="inlineStr">
        <is>
          <t xml:space="preserve">  Harina 0000</t>
        </is>
      </c>
      <c r="B51" s="13" t="n">
        <v>0.22</v>
      </c>
      <c r="C51" s="9" t="inlineStr">
        <is>
          <t>kg</t>
        </is>
      </c>
      <c r="D51" s="13" t="n">
        <v>229</v>
      </c>
      <c r="E51" s="13" t="n">
        <v>160</v>
      </c>
      <c r="F51" s="9" t="inlineStr"/>
      <c r="G51" s="9" t="inlineStr"/>
      <c r="H51" s="9" t="inlineStr"/>
    </row>
    <row r="52">
      <c r="A52" s="9" t="inlineStr">
        <is>
          <t xml:space="preserve">  Manteca</t>
        </is>
      </c>
      <c r="B52" s="13" t="n">
        <v>0.08</v>
      </c>
      <c r="C52" s="9" t="inlineStr">
        <is>
          <t>kg</t>
        </is>
      </c>
      <c r="D52" s="13" t="n">
        <v>900</v>
      </c>
      <c r="E52" s="13" t="n">
        <v>630</v>
      </c>
      <c r="F52" s="9" t="inlineStr"/>
      <c r="G52" s="9" t="inlineStr"/>
      <c r="H52" s="9" t="inlineStr"/>
    </row>
    <row r="53">
      <c r="A53" s="9" t="inlineStr">
        <is>
          <t xml:space="preserve">  Azucar</t>
        </is>
      </c>
      <c r="B53" s="13" t="n">
        <v>0.04</v>
      </c>
      <c r="C53" s="9" t="inlineStr">
        <is>
          <t>kg</t>
        </is>
      </c>
      <c r="D53" s="14" t="n">
        <v>46</v>
      </c>
      <c r="E53" s="14" t="n">
        <v>32</v>
      </c>
      <c r="F53" s="9" t="inlineStr"/>
      <c r="G53" s="9" t="inlineStr"/>
      <c r="H53" s="9" t="inlineStr"/>
    </row>
    <row r="54">
      <c r="A54" s="9" t="inlineStr">
        <is>
          <t xml:space="preserve">  Dulce de leche</t>
        </is>
      </c>
      <c r="B54" s="13" t="n">
        <v>0.04</v>
      </c>
      <c r="C54" s="9" t="inlineStr">
        <is>
          <t>kg</t>
        </is>
      </c>
      <c r="D54" s="13" t="n">
        <v>200</v>
      </c>
      <c r="E54" s="13" t="n">
        <v>140</v>
      </c>
      <c r="F54" s="9" t="inlineStr"/>
      <c r="G54" s="9" t="inlineStr"/>
      <c r="H54" s="9" t="inlineStr"/>
    </row>
    <row r="55">
      <c r="A55" s="9" t="inlineStr">
        <is>
          <t xml:space="preserve">  Levadura/huevo</t>
        </is>
      </c>
      <c r="B55" s="14" t="n">
        <v>1</v>
      </c>
      <c r="C55" s="9" t="inlineStr">
        <is>
          <t>lote</t>
        </is>
      </c>
      <c r="D55" s="13" t="n">
        <v>200</v>
      </c>
      <c r="E55" s="13" t="n">
        <v>140</v>
      </c>
      <c r="F55" s="9" t="inlineStr"/>
      <c r="G55" s="9" t="inlineStr"/>
      <c r="H55" s="9" t="inlineStr"/>
    </row>
    <row r="56">
      <c r="A56" s="7" t="inlineStr">
        <is>
          <t xml:space="preserve">  COSTO TOTAL</t>
        </is>
      </c>
      <c r="B56" s="7" t="inlineStr"/>
      <c r="C56" s="7" t="inlineStr"/>
      <c r="D56" s="7" t="inlineStr"/>
      <c r="E56" s="8" t="n">
        <v>1102</v>
      </c>
      <c r="F56" s="8" t="n">
        <v>2511</v>
      </c>
      <c r="G56" s="7" t="inlineStr">
        <is>
          <t>56%</t>
        </is>
      </c>
      <c r="H56" s="7" t="inlineStr"/>
    </row>
    <row r="57">
      <c r="A57" s="35" t="inlineStr">
        <is>
          <t>PAN SALVADO NINO (u)</t>
        </is>
      </c>
      <c r="B57" s="35" t="inlineStr"/>
      <c r="C57" s="35" t="inlineStr"/>
      <c r="D57" s="35" t="inlineStr"/>
      <c r="E57" s="35" t="inlineStr"/>
      <c r="F57" s="36" t="n">
        <v>3498</v>
      </c>
      <c r="G57" s="35" t="inlineStr"/>
      <c r="H57" s="35" t="inlineStr">
        <is>
          <t>5.2%</t>
        </is>
      </c>
    </row>
    <row r="58">
      <c r="A58" s="9" t="inlineStr">
        <is>
          <t xml:space="preserve">  Harina integral</t>
        </is>
      </c>
      <c r="B58" s="13" t="n">
        <v>0.3</v>
      </c>
      <c r="C58" s="9" t="inlineStr">
        <is>
          <t>kg</t>
        </is>
      </c>
      <c r="D58" s="13" t="n">
        <v>495</v>
      </c>
      <c r="E58" s="13" t="n">
        <v>346</v>
      </c>
      <c r="F58" s="9" t="inlineStr"/>
      <c r="G58" s="9" t="inlineStr"/>
      <c r="H58" s="9" t="inlineStr"/>
    </row>
    <row r="59">
      <c r="A59" s="9" t="inlineStr">
        <is>
          <t xml:space="preserve">  Salvado trigo</t>
        </is>
      </c>
      <c r="B59" s="13" t="n">
        <v>0.05</v>
      </c>
      <c r="C59" s="9" t="inlineStr">
        <is>
          <t>kg</t>
        </is>
      </c>
      <c r="D59" s="14" t="n">
        <v>40</v>
      </c>
      <c r="E59" s="14" t="n">
        <v>28</v>
      </c>
      <c r="F59" s="9" t="inlineStr"/>
      <c r="G59" s="9" t="inlineStr"/>
      <c r="H59" s="9" t="inlineStr"/>
    </row>
    <row r="60">
      <c r="A60" s="9" t="inlineStr">
        <is>
          <t xml:space="preserve">  Sal/levadura</t>
        </is>
      </c>
      <c r="B60" s="14" t="n">
        <v>1</v>
      </c>
      <c r="C60" s="9" t="inlineStr">
        <is>
          <t>lote</t>
        </is>
      </c>
      <c r="D60" s="14" t="n">
        <v>80</v>
      </c>
      <c r="E60" s="14" t="n">
        <v>56</v>
      </c>
      <c r="F60" s="9" t="inlineStr"/>
      <c r="G60" s="9" t="inlineStr"/>
      <c r="H60" s="9" t="inlineStr"/>
    </row>
    <row r="61">
      <c r="A61" s="9" t="inlineStr">
        <is>
          <t xml:space="preserve">  Agua</t>
        </is>
      </c>
      <c r="B61" s="13" t="n">
        <v>0.2</v>
      </c>
      <c r="C61" s="9" t="inlineStr">
        <is>
          <t>L</t>
        </is>
      </c>
      <c r="D61" s="14" t="n">
        <v>0</v>
      </c>
      <c r="E61" s="14" t="n">
        <v>0</v>
      </c>
      <c r="F61" s="9" t="inlineStr"/>
      <c r="G61" s="9" t="inlineStr"/>
      <c r="H61" s="9" t="inlineStr"/>
    </row>
    <row r="62">
      <c r="A62" s="7" t="inlineStr">
        <is>
          <t xml:space="preserve">  COSTO TOTAL</t>
        </is>
      </c>
      <c r="B62" s="7" t="inlineStr"/>
      <c r="C62" s="7" t="inlineStr"/>
      <c r="D62" s="7" t="inlineStr"/>
      <c r="E62" s="8" t="n">
        <v>430</v>
      </c>
      <c r="F62" s="8" t="n">
        <v>3498</v>
      </c>
      <c r="G62" s="7" t="inlineStr">
        <is>
          <t>88%</t>
        </is>
      </c>
      <c r="H62" s="7" t="inlineStr"/>
    </row>
    <row r="63">
      <c r="A63" s="35" t="inlineStr">
        <is>
          <t>PAN CASERO NINO (u)</t>
        </is>
      </c>
      <c r="B63" s="35" t="inlineStr"/>
      <c r="C63" s="35" t="inlineStr"/>
      <c r="D63" s="35" t="inlineStr"/>
      <c r="E63" s="35" t="inlineStr"/>
      <c r="F63" s="36" t="n">
        <v>2501</v>
      </c>
      <c r="G63" s="35" t="inlineStr"/>
      <c r="H63" s="35" t="inlineStr">
        <is>
          <t>4.8%</t>
        </is>
      </c>
    </row>
    <row r="64">
      <c r="A64" s="9" t="inlineStr">
        <is>
          <t xml:space="preserve">  Harina 0000</t>
        </is>
      </c>
      <c r="B64" s="13" t="n">
        <v>0.3</v>
      </c>
      <c r="C64" s="9" t="inlineStr">
        <is>
          <t>kg</t>
        </is>
      </c>
      <c r="D64" s="13" t="n">
        <v>312</v>
      </c>
      <c r="E64" s="13" t="n">
        <v>218</v>
      </c>
      <c r="F64" s="9" t="inlineStr"/>
      <c r="G64" s="9" t="inlineStr"/>
      <c r="H64" s="9" t="inlineStr"/>
    </row>
    <row r="65">
      <c r="A65" s="9" t="inlineStr">
        <is>
          <t xml:space="preserve">  Grasa vacuna</t>
        </is>
      </c>
      <c r="B65" s="13" t="n">
        <v>0.03</v>
      </c>
      <c r="C65" s="9" t="inlineStr">
        <is>
          <t>kg</t>
        </is>
      </c>
      <c r="D65" s="13" t="n">
        <v>129</v>
      </c>
      <c r="E65" s="14" t="n">
        <v>90</v>
      </c>
      <c r="F65" s="9" t="inlineStr"/>
      <c r="G65" s="9" t="inlineStr"/>
      <c r="H65" s="9" t="inlineStr"/>
    </row>
    <row r="66">
      <c r="A66" s="9" t="inlineStr">
        <is>
          <t xml:space="preserve">  Sal/levadura</t>
        </is>
      </c>
      <c r="B66" s="14" t="n">
        <v>1</v>
      </c>
      <c r="C66" s="9" t="inlineStr">
        <is>
          <t>lote</t>
        </is>
      </c>
      <c r="D66" s="14" t="n">
        <v>80</v>
      </c>
      <c r="E66" s="14" t="n">
        <v>56</v>
      </c>
      <c r="F66" s="9" t="inlineStr"/>
      <c r="G66" s="9" t="inlineStr"/>
      <c r="H66" s="9" t="inlineStr"/>
    </row>
    <row r="67">
      <c r="A67" s="9" t="inlineStr">
        <is>
          <t xml:space="preserve">  Agua</t>
        </is>
      </c>
      <c r="B67" s="13" t="n">
        <v>0.15</v>
      </c>
      <c r="C67" s="9" t="inlineStr">
        <is>
          <t>L</t>
        </is>
      </c>
      <c r="D67" s="14" t="n">
        <v>0</v>
      </c>
      <c r="E67" s="14" t="n">
        <v>0</v>
      </c>
      <c r="F67" s="9" t="inlineStr"/>
      <c r="G67" s="9" t="inlineStr"/>
      <c r="H67" s="9" t="inlineStr"/>
    </row>
    <row r="68">
      <c r="A68" s="7" t="inlineStr">
        <is>
          <t xml:space="preserve">  COSTO TOTAL</t>
        </is>
      </c>
      <c r="B68" s="7" t="inlineStr"/>
      <c r="C68" s="7" t="inlineStr"/>
      <c r="D68" s="7" t="inlineStr"/>
      <c r="E68" s="8" t="n">
        <v>364</v>
      </c>
      <c r="F68" s="8" t="n">
        <v>2501</v>
      </c>
      <c r="G68" s="7" t="inlineStr">
        <is>
          <t>85%</t>
        </is>
      </c>
      <c r="H68" s="7" t="inlineStr"/>
    </row>
    <row r="69">
      <c r="A69" s="35" t="inlineStr">
        <is>
          <t>PRE-PIZZA NINO x2</t>
        </is>
      </c>
      <c r="B69" s="35" t="inlineStr"/>
      <c r="C69" s="35" t="inlineStr"/>
      <c r="D69" s="35" t="inlineStr"/>
      <c r="E69" s="35" t="inlineStr"/>
      <c r="F69" s="36" t="n">
        <v>2871</v>
      </c>
      <c r="G69" s="35" t="inlineStr"/>
      <c r="H69" s="35" t="inlineStr">
        <is>
          <t>4.3%</t>
        </is>
      </c>
    </row>
    <row r="70">
      <c r="A70" s="9" t="inlineStr">
        <is>
          <t xml:space="preserve">  Harina 0000</t>
        </is>
      </c>
      <c r="B70" s="13" t="n">
        <v>0.4</v>
      </c>
      <c r="C70" s="9" t="inlineStr">
        <is>
          <t>kg</t>
        </is>
      </c>
      <c r="D70" s="13" t="n">
        <v>416</v>
      </c>
      <c r="E70" s="13" t="n">
        <v>291</v>
      </c>
      <c r="F70" s="9" t="inlineStr"/>
      <c r="G70" s="9" t="inlineStr"/>
      <c r="H70" s="9" t="inlineStr"/>
    </row>
    <row r="71">
      <c r="A71" s="9" t="inlineStr">
        <is>
          <t xml:space="preserve">  Aceite girasol</t>
        </is>
      </c>
      <c r="B71" s="13" t="n">
        <v>0.05</v>
      </c>
      <c r="C71" s="9" t="inlineStr">
        <is>
          <t>L</t>
        </is>
      </c>
      <c r="D71" s="13" t="n">
        <v>206</v>
      </c>
      <c r="E71" s="13" t="n">
        <v>144</v>
      </c>
      <c r="F71" s="9" t="inlineStr"/>
      <c r="G71" s="9" t="inlineStr"/>
      <c r="H71" s="9" t="inlineStr"/>
    </row>
    <row r="72">
      <c r="A72" s="9" t="inlineStr">
        <is>
          <t xml:space="preserve">  Sal/levadura</t>
        </is>
      </c>
      <c r="B72" s="14" t="n">
        <v>1</v>
      </c>
      <c r="C72" s="9" t="inlineStr">
        <is>
          <t>lote</t>
        </is>
      </c>
      <c r="D72" s="14" t="n">
        <v>80</v>
      </c>
      <c r="E72" s="14" t="n">
        <v>56</v>
      </c>
      <c r="F72" s="9" t="inlineStr"/>
      <c r="G72" s="9" t="inlineStr"/>
      <c r="H72" s="9" t="inlineStr"/>
    </row>
    <row r="73">
      <c r="A73" s="9" t="inlineStr">
        <is>
          <t xml:space="preserve">  Agua</t>
        </is>
      </c>
      <c r="B73" s="13" t="n">
        <v>0.25</v>
      </c>
      <c r="C73" s="9" t="inlineStr">
        <is>
          <t>L</t>
        </is>
      </c>
      <c r="D73" s="14" t="n">
        <v>0</v>
      </c>
      <c r="E73" s="14" t="n">
        <v>0</v>
      </c>
      <c r="F73" s="9" t="inlineStr"/>
      <c r="G73" s="9" t="inlineStr"/>
      <c r="H73" s="9" t="inlineStr"/>
    </row>
    <row r="74">
      <c r="A74" s="7" t="inlineStr">
        <is>
          <t xml:space="preserve">  COSTO TOTAL</t>
        </is>
      </c>
      <c r="B74" s="7" t="inlineStr"/>
      <c r="C74" s="7" t="inlineStr"/>
      <c r="D74" s="7" t="inlineStr"/>
      <c r="E74" s="8" t="n">
        <v>491</v>
      </c>
      <c r="F74" s="8" t="n">
        <v>2871</v>
      </c>
      <c r="G74" s="7" t="inlineStr">
        <is>
          <t>83%</t>
        </is>
      </c>
      <c r="H74" s="7" t="inlineStr"/>
    </row>
    <row r="75">
      <c r="A75" s="35" t="inlineStr">
        <is>
          <t>PAN NINO BAGUETTE (u)</t>
        </is>
      </c>
      <c r="B75" s="35" t="inlineStr"/>
      <c r="C75" s="35" t="inlineStr"/>
      <c r="D75" s="35" t="inlineStr"/>
      <c r="E75" s="35" t="inlineStr"/>
      <c r="F75" s="36" t="n">
        <v>2492</v>
      </c>
      <c r="G75" s="35" t="inlineStr"/>
      <c r="H75" s="35" t="inlineStr">
        <is>
          <t>3.5%</t>
        </is>
      </c>
    </row>
    <row r="76">
      <c r="A76" s="9" t="inlineStr">
        <is>
          <t xml:space="preserve">  Harina 000</t>
        </is>
      </c>
      <c r="B76" s="13" t="n">
        <v>0.35</v>
      </c>
      <c r="C76" s="9" t="inlineStr">
        <is>
          <t>kg</t>
        </is>
      </c>
      <c r="D76" s="13" t="n">
        <v>262</v>
      </c>
      <c r="E76" s="13" t="n">
        <v>184</v>
      </c>
      <c r="F76" s="9" t="inlineStr"/>
      <c r="G76" s="9" t="inlineStr"/>
      <c r="H76" s="9" t="inlineStr"/>
    </row>
    <row r="77">
      <c r="A77" s="9" t="inlineStr">
        <is>
          <t xml:space="preserve">  Sal fina</t>
        </is>
      </c>
      <c r="B77" s="13" t="n">
        <v>0.006</v>
      </c>
      <c r="C77" s="9" t="inlineStr">
        <is>
          <t>kg</t>
        </is>
      </c>
      <c r="D77" s="14" t="n">
        <v>13</v>
      </c>
      <c r="E77" s="14" t="n">
        <v>9</v>
      </c>
      <c r="F77" s="9" t="inlineStr"/>
      <c r="G77" s="9" t="inlineStr"/>
      <c r="H77" s="9" t="inlineStr"/>
    </row>
    <row r="78">
      <c r="A78" s="9" t="inlineStr">
        <is>
          <t xml:space="preserve">  Levadura prensada</t>
        </is>
      </c>
      <c r="B78" s="13" t="n">
        <v>0.005</v>
      </c>
      <c r="C78" s="9" t="inlineStr">
        <is>
          <t>kg</t>
        </is>
      </c>
      <c r="D78" s="14" t="n">
        <v>56</v>
      </c>
      <c r="E78" s="14" t="n">
        <v>39</v>
      </c>
      <c r="F78" s="9" t="inlineStr"/>
      <c r="G78" s="9" t="inlineStr"/>
      <c r="H78" s="9" t="inlineStr"/>
    </row>
    <row r="79">
      <c r="A79" s="9" t="inlineStr">
        <is>
          <t xml:space="preserve">  Agua</t>
        </is>
      </c>
      <c r="B79" s="13" t="n">
        <v>0.22</v>
      </c>
      <c r="C79" s="9" t="inlineStr">
        <is>
          <t>L</t>
        </is>
      </c>
      <c r="D79" s="14" t="n">
        <v>0</v>
      </c>
      <c r="E79" s="14" t="n">
        <v>0</v>
      </c>
      <c r="F79" s="9" t="inlineStr"/>
      <c r="G79" s="9" t="inlineStr"/>
      <c r="H79" s="9" t="inlineStr"/>
    </row>
    <row r="80">
      <c r="A80" s="7" t="inlineStr">
        <is>
          <t xml:space="preserve">  COSTO TOTAL</t>
        </is>
      </c>
      <c r="B80" s="7" t="inlineStr"/>
      <c r="C80" s="7" t="inlineStr"/>
      <c r="D80" s="7" t="inlineStr"/>
      <c r="E80" s="8" t="n">
        <v>232</v>
      </c>
      <c r="F80" s="8" t="n">
        <v>2492</v>
      </c>
      <c r="G80" s="7" t="inlineStr">
        <is>
          <t>91%</t>
        </is>
      </c>
      <c r="H80" s="7" t="inlineStr"/>
    </row>
    <row r="81">
      <c r="A81" s="35" t="inlineStr">
        <is>
          <t>BIZCOCHUELO NINO (u)</t>
        </is>
      </c>
      <c r="B81" s="35" t="inlineStr"/>
      <c r="C81" s="35" t="inlineStr"/>
      <c r="D81" s="35" t="inlineStr"/>
      <c r="E81" s="35" t="inlineStr"/>
      <c r="F81" s="36" t="n">
        <v>11731</v>
      </c>
      <c r="G81" s="35" t="inlineStr"/>
      <c r="H81" s="35" t="inlineStr">
        <is>
          <t>2.8%</t>
        </is>
      </c>
    </row>
    <row r="82">
      <c r="A82" s="9" t="inlineStr">
        <is>
          <t xml:space="preserve">  Harina 0000</t>
        </is>
      </c>
      <c r="B82" s="13" t="n">
        <v>0.3</v>
      </c>
      <c r="C82" s="9" t="inlineStr">
        <is>
          <t>kg</t>
        </is>
      </c>
      <c r="D82" s="13" t="n">
        <v>312</v>
      </c>
      <c r="E82" s="13" t="n">
        <v>218</v>
      </c>
      <c r="F82" s="9" t="inlineStr"/>
      <c r="G82" s="9" t="inlineStr"/>
      <c r="H82" s="9" t="inlineStr"/>
    </row>
    <row r="83">
      <c r="A83" s="9" t="inlineStr">
        <is>
          <t xml:space="preserve">  Huevos</t>
        </is>
      </c>
      <c r="B83" s="14" t="n">
        <v>6</v>
      </c>
      <c r="C83" s="9" t="inlineStr">
        <is>
          <t>u</t>
        </is>
      </c>
      <c r="D83" s="13" t="n">
        <v>1752</v>
      </c>
      <c r="E83" s="13" t="n">
        <v>1226</v>
      </c>
      <c r="F83" s="9" t="inlineStr"/>
      <c r="G83" s="9" t="inlineStr"/>
      <c r="H83" s="9" t="inlineStr"/>
    </row>
    <row r="84">
      <c r="A84" s="9" t="inlineStr">
        <is>
          <t xml:space="preserve">  Azucar</t>
        </is>
      </c>
      <c r="B84" s="13" t="n">
        <v>0.25</v>
      </c>
      <c r="C84" s="9" t="inlineStr">
        <is>
          <t>kg</t>
        </is>
      </c>
      <c r="D84" s="13" t="n">
        <v>288</v>
      </c>
      <c r="E84" s="13" t="n">
        <v>201</v>
      </c>
      <c r="F84" s="9" t="inlineStr"/>
      <c r="G84" s="9" t="inlineStr"/>
      <c r="H84" s="9" t="inlineStr"/>
    </row>
    <row r="85">
      <c r="A85" s="9" t="inlineStr">
        <is>
          <t xml:space="preserve">  Manteca</t>
        </is>
      </c>
      <c r="B85" s="13" t="n">
        <v>0.05</v>
      </c>
      <c r="C85" s="9" t="inlineStr">
        <is>
          <t>kg</t>
        </is>
      </c>
      <c r="D85" s="13" t="n">
        <v>562</v>
      </c>
      <c r="E85" s="13" t="n">
        <v>394</v>
      </c>
      <c r="F85" s="9" t="inlineStr"/>
      <c r="G85" s="9" t="inlineStr"/>
      <c r="H85" s="9" t="inlineStr"/>
    </row>
    <row r="86">
      <c r="A86" s="9" t="inlineStr">
        <is>
          <t xml:space="preserve">  Esencia vainilla</t>
        </is>
      </c>
      <c r="B86" s="14" t="n">
        <v>1</v>
      </c>
      <c r="C86" s="9" t="inlineStr">
        <is>
          <t>lote</t>
        </is>
      </c>
      <c r="D86" s="13" t="n">
        <v>100</v>
      </c>
      <c r="E86" s="14" t="n">
        <v>70</v>
      </c>
      <c r="F86" s="9" t="inlineStr"/>
      <c r="G86" s="9" t="inlineStr"/>
      <c r="H86" s="9" t="inlineStr"/>
    </row>
    <row r="87">
      <c r="A87" s="7" t="inlineStr">
        <is>
          <t xml:space="preserve">  COSTO TOTAL</t>
        </is>
      </c>
      <c r="B87" s="7" t="inlineStr"/>
      <c r="C87" s="7" t="inlineStr"/>
      <c r="D87" s="7" t="inlineStr"/>
      <c r="E87" s="8" t="n">
        <v>2109</v>
      </c>
      <c r="F87" s="8" t="n">
        <v>11731</v>
      </c>
      <c r="G87" s="7" t="inlineStr">
        <is>
          <t>82%</t>
        </is>
      </c>
      <c r="H87" s="7" t="inlineStr"/>
    </row>
    <row r="89">
      <c r="A89" s="7" t="inlineStr">
        <is>
          <t>MARGEN PONDERADO (estos productos)</t>
        </is>
      </c>
      <c r="B89" s="7" t="inlineStr"/>
      <c r="C89" s="7" t="inlineStr"/>
      <c r="D89" s="7" t="inlineStr"/>
      <c r="E89" s="7" t="inlineStr"/>
      <c r="F89" s="7" t="inlineStr"/>
      <c r="G89" s="7" t="inlineStr">
        <is>
          <t>61.0%</t>
        </is>
      </c>
      <c r="H89" s="7" t="inlineStr"/>
    </row>
    <row r="90">
      <c r="A90" s="25" t="inlineStr">
        <is>
          <t>Margen asumido en estructura de costos</t>
        </is>
      </c>
      <c r="B90" s="25" t="inlineStr"/>
      <c r="C90" s="25" t="inlineStr"/>
      <c r="D90" s="25" t="inlineStr"/>
      <c r="E90" s="25" t="inlineStr"/>
      <c r="F90" s="25" t="inlineStr"/>
      <c r="G90" s="25" t="inlineStr">
        <is>
          <t>70%</t>
        </is>
      </c>
      <c r="H90" s="25" t="inlineStr"/>
    </row>
    <row r="91">
      <c r="A91" s="2" t="inlineStr">
        <is>
          <t xml:space="preserve">  Factor costo 0.70 = precio retail x 70% (margen tipico supermercado ~30%)</t>
        </is>
      </c>
    </row>
    <row r="92">
      <c r="A92" s="2" t="inlineStr">
        <is>
          <t xml:space="preserve">  Verde = margen &gt;25% | Amarillo = margen 0-25% | Rojo = margen negativo</t>
        </is>
      </c>
    </row>
    <row r="93">
      <c r="A93" s="2" t="inlineStr">
        <is>
          <t xml:space="preserve">  NOTA: Margen alto porque insumos (harina, agua, sal) son baratos. El costo real es mano de obra + energia.</t>
        </is>
      </c>
    </row>
  </sheetData>
  <mergeCells count="7">
    <mergeCell ref="A4:H4"/>
    <mergeCell ref="A92:H92"/>
    <mergeCell ref="A21:H21"/>
    <mergeCell ref="A91:H91"/>
    <mergeCell ref="A2:H2"/>
    <mergeCell ref="A1:H1"/>
    <mergeCell ref="A93:H9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0" customWidth="1" min="4" max="4"/>
    <col width="16" customWidth="1" min="5" max="5"/>
    <col width="14" customWidth="1" min="6" max="6"/>
  </cols>
  <sheetData>
    <row r="1">
      <c r="A1" s="1" t="inlineStr">
        <is>
          <t>ANALISIS DE SENSIBILIDAD - MARGEN DE CONTRIBUCION</t>
        </is>
      </c>
    </row>
    <row r="3">
      <c r="A3" s="37" t="inlineStr">
        <is>
          <t>Escenarios variando Margen Bruto y Merma:</t>
        </is>
      </c>
    </row>
    <row r="5">
      <c r="A5" s="4" t="inlineStr">
        <is>
          <t>Escenario</t>
        </is>
      </c>
      <c r="B5" s="4" t="inlineStr">
        <is>
          <t>Margen Bruto %</t>
        </is>
      </c>
      <c r="C5" s="4" t="inlineStr">
        <is>
          <t>Merma %</t>
        </is>
      </c>
      <c r="D5" s="4" t="inlineStr">
        <is>
          <t>Margen Contrib ($)</t>
        </is>
      </c>
      <c r="E5" s="4" t="inlineStr">
        <is>
          <t>MC % s/Ventas</t>
        </is>
      </c>
      <c r="F5" s="4" t="inlineStr">
        <is>
          <t>Estado</t>
        </is>
      </c>
    </row>
    <row r="6">
      <c r="A6" s="33" t="inlineStr">
        <is>
          <t>Pesimista</t>
        </is>
      </c>
      <c r="B6" s="33" t="inlineStr">
        <is>
          <t>55%</t>
        </is>
      </c>
      <c r="C6" s="33" t="inlineStr">
        <is>
          <t>6%</t>
        </is>
      </c>
      <c r="D6" s="34" t="n">
        <v>3671076</v>
      </c>
      <c r="E6" s="33" t="inlineStr">
        <is>
          <t>16.9%</t>
        </is>
      </c>
      <c r="F6" s="33" t="inlineStr">
        <is>
          <t>SUPERAVIT</t>
        </is>
      </c>
    </row>
    <row r="7">
      <c r="A7" s="33" t="inlineStr">
        <is>
          <t>Conservador</t>
        </is>
      </c>
      <c r="B7" s="33" t="inlineStr">
        <is>
          <t>63%</t>
        </is>
      </c>
      <c r="C7" s="33" t="inlineStr">
        <is>
          <t>5%</t>
        </is>
      </c>
      <c r="D7" s="34" t="n">
        <v>5627885</v>
      </c>
      <c r="E7" s="33" t="inlineStr">
        <is>
          <t>25.9%</t>
        </is>
      </c>
      <c r="F7" s="33" t="inlineStr">
        <is>
          <t>SUPERAVIT</t>
        </is>
      </c>
    </row>
    <row r="8">
      <c r="A8" s="33" t="inlineStr">
        <is>
          <t>Base</t>
        </is>
      </c>
      <c r="B8" s="33" t="inlineStr">
        <is>
          <t>70%</t>
        </is>
      </c>
      <c r="C8" s="33" t="inlineStr">
        <is>
          <t>4%</t>
        </is>
      </c>
      <c r="D8" s="34" t="n">
        <v>7367270</v>
      </c>
      <c r="E8" s="33" t="inlineStr">
        <is>
          <t>33.9%</t>
        </is>
      </c>
      <c r="F8" s="33" t="inlineStr">
        <is>
          <t>SUPERAVIT</t>
        </is>
      </c>
    </row>
    <row r="9">
      <c r="A9" s="33" t="inlineStr">
        <is>
          <t>Optimista</t>
        </is>
      </c>
      <c r="B9" s="33" t="inlineStr">
        <is>
          <t>75%</t>
        </is>
      </c>
      <c r="C9" s="33" t="inlineStr">
        <is>
          <t>3%</t>
        </is>
      </c>
      <c r="D9" s="34" t="n">
        <v>8671809</v>
      </c>
      <c r="E9" s="33" t="inlineStr">
        <is>
          <t>39.9%</t>
        </is>
      </c>
      <c r="F9" s="33" t="inlineStr">
        <is>
          <t>SUPERAVIT</t>
        </is>
      </c>
    </row>
    <row r="10">
      <c r="A10" s="33" t="inlineStr">
        <is>
          <t>Ideal</t>
        </is>
      </c>
      <c r="B10" s="33" t="inlineStr">
        <is>
          <t>80%</t>
        </is>
      </c>
      <c r="C10" s="33" t="inlineStr">
        <is>
          <t>2%</t>
        </is>
      </c>
      <c r="D10" s="34" t="n">
        <v>9976349</v>
      </c>
      <c r="E10" s="33" t="inlineStr">
        <is>
          <t>45.9%</t>
        </is>
      </c>
      <c r="F10" s="33" t="inlineStr">
        <is>
          <t>SUPERAVIT</t>
        </is>
      </c>
    </row>
    <row r="13">
      <c r="A13" s="37" t="inlineStr">
        <is>
          <t>Punto de equilibrio por escenario:</t>
        </is>
      </c>
    </row>
    <row r="14">
      <c r="A14" s="4" t="inlineStr">
        <is>
          <t>Escenario</t>
        </is>
      </c>
      <c r="B14" s="4" t="inlineStr">
        <is>
          <t>Margen %</t>
        </is>
      </c>
      <c r="C14" s="4" t="inlineStr">
        <is>
          <t>Merma %</t>
        </is>
      </c>
      <c r="D14" s="4" t="inlineStr">
        <is>
          <t>Vtas Equilibrio ($)</t>
        </is>
      </c>
      <c r="E14" s="4" t="inlineStr">
        <is>
          <t>Cobertura %</t>
        </is>
      </c>
      <c r="F14" s="4" t="inlineStr">
        <is>
          <t>Estado</t>
        </is>
      </c>
    </row>
    <row r="15">
      <c r="A15" s="33" t="inlineStr">
        <is>
          <t>Pesimista</t>
        </is>
      </c>
      <c r="B15" s="33" t="inlineStr">
        <is>
          <t>55%</t>
        </is>
      </c>
      <c r="C15" s="33" t="inlineStr">
        <is>
          <t>6%</t>
        </is>
      </c>
      <c r="D15" s="34" t="n">
        <v>13480037</v>
      </c>
      <c r="E15" s="33" t="inlineStr">
        <is>
          <t>161%</t>
        </is>
      </c>
      <c r="F15" s="33" t="inlineStr">
        <is>
          <t>OK</t>
        </is>
      </c>
    </row>
    <row r="16">
      <c r="A16" s="33" t="inlineStr">
        <is>
          <t>Conservador</t>
        </is>
      </c>
      <c r="B16" s="33" t="inlineStr">
        <is>
          <t>63%</t>
        </is>
      </c>
      <c r="C16" s="33" t="inlineStr">
        <is>
          <t>5%</t>
        </is>
      </c>
      <c r="D16" s="34" t="n">
        <v>11209472</v>
      </c>
      <c r="E16" s="33" t="inlineStr">
        <is>
          <t>194%</t>
        </is>
      </c>
      <c r="F16" s="33" t="inlineStr">
        <is>
          <t>OK</t>
        </is>
      </c>
    </row>
    <row r="17">
      <c r="A17" s="33" t="inlineStr">
        <is>
          <t>Base</t>
        </is>
      </c>
      <c r="B17" s="33" t="inlineStr">
        <is>
          <t>70%</t>
        </is>
      </c>
      <c r="C17" s="33" t="inlineStr">
        <is>
          <t>4%</t>
        </is>
      </c>
      <c r="D17" s="34" t="n">
        <v>9749709</v>
      </c>
      <c r="E17" s="33" t="inlineStr">
        <is>
          <t>223%</t>
        </is>
      </c>
      <c r="F17" s="33" t="inlineStr">
        <is>
          <t>OK</t>
        </is>
      </c>
    </row>
    <row r="18">
      <c r="A18" s="33" t="inlineStr">
        <is>
          <t>Optimista</t>
        </is>
      </c>
      <c r="B18" s="33" t="inlineStr">
        <is>
          <t>75%</t>
        </is>
      </c>
      <c r="C18" s="33" t="inlineStr">
        <is>
          <t>3%</t>
        </is>
      </c>
      <c r="D18" s="34" t="n">
        <v>8882192</v>
      </c>
      <c r="E18" s="33" t="inlineStr">
        <is>
          <t>245%</t>
        </is>
      </c>
      <c r="F18" s="33" t="inlineStr">
        <is>
          <t>OK</t>
        </is>
      </c>
    </row>
    <row r="19">
      <c r="A19" s="33" t="inlineStr">
        <is>
          <t>Ideal</t>
        </is>
      </c>
      <c r="B19" s="33" t="inlineStr">
        <is>
          <t>80%</t>
        </is>
      </c>
      <c r="C19" s="33" t="inlineStr">
        <is>
          <t>2%</t>
        </is>
      </c>
      <c r="D19" s="34" t="n">
        <v>8156440</v>
      </c>
      <c r="E19" s="33" t="inlineStr">
        <is>
          <t>267%</t>
        </is>
      </c>
      <c r="F19" s="33" t="inlineStr">
        <is>
          <t>OK</t>
        </is>
      </c>
    </row>
    <row r="22">
      <c r="A22" s="2" t="inlineStr">
        <is>
          <t xml:space="preserve">  NOTA: Si obtiene certificado MiPyME, contribuciones SUSS bajan de 20.74% a ~18%, mejorando todos los escenarios.</t>
        </is>
      </c>
    </row>
    <row r="24">
      <c r="A24" s="37" t="inlineStr">
        <is>
          <t>Comparacion Panaderia vs Rotiseria:</t>
        </is>
      </c>
    </row>
    <row r="25">
      <c r="A25" s="4" t="inlineStr">
        <is>
          <t>Concepto</t>
        </is>
      </c>
      <c r="B25" s="4" t="inlineStr">
        <is>
          <t>Panaderia</t>
        </is>
      </c>
      <c r="C25" s="4" t="inlineStr">
        <is>
          <t>Rotiseria</t>
        </is>
      </c>
      <c r="D25" s="4" t="inlineStr">
        <is>
          <t>Diferencia</t>
        </is>
      </c>
      <c r="E25" s="4" t="inlineStr"/>
      <c r="F25" s="4" t="inlineStr"/>
    </row>
    <row r="26">
      <c r="A26" s="5" t="inlineStr">
        <is>
          <t>Ventas mensuales</t>
        </is>
      </c>
      <c r="B26" s="6" t="n">
        <v>21742317</v>
      </c>
      <c r="C26" s="6" t="n">
        <v>11050346</v>
      </c>
      <c r="D26" s="6" t="n">
        <v>10691971</v>
      </c>
      <c r="E26" s="5" t="inlineStr"/>
      <c r="F26" s="5" t="inlineStr"/>
    </row>
    <row r="27">
      <c r="A27" s="5" t="inlineStr">
        <is>
          <t>Margen bruto %</t>
        </is>
      </c>
      <c r="B27" s="5" t="inlineStr">
        <is>
          <t>70%</t>
        </is>
      </c>
      <c r="C27" s="5" t="inlineStr">
        <is>
          <t>30%</t>
        </is>
      </c>
      <c r="D27" s="5" t="inlineStr"/>
      <c r="E27" s="5" t="inlineStr"/>
      <c r="F27" s="5" t="inlineStr">
        <is>
          <t>Panaderia &gt;&gt; Rotiseria (insumos baratos)</t>
        </is>
      </c>
    </row>
    <row r="28">
      <c r="A28" s="5" t="inlineStr">
        <is>
          <t>Empleados</t>
        </is>
      </c>
      <c r="B28" s="32" t="n">
        <v>3</v>
      </c>
      <c r="C28" s="32" t="n">
        <v>3</v>
      </c>
      <c r="D28" s="32" t="n">
        <v>0</v>
      </c>
      <c r="E28" s="5" t="inlineStr"/>
      <c r="F28" s="5" t="inlineStr"/>
    </row>
    <row r="29">
      <c r="A29" s="5" t="inlineStr">
        <is>
          <t>Costo laboral</t>
        </is>
      </c>
      <c r="B29" s="6" t="n">
        <v>-4856529</v>
      </c>
      <c r="C29" s="6" t="n">
        <v>-4856529</v>
      </c>
      <c r="D29" s="32" t="n">
        <v>0</v>
      </c>
      <c r="E29" s="5" t="inlineStr"/>
      <c r="F29" s="5" t="inlineStr">
        <is>
          <t>Misma dotacion y CCT</t>
        </is>
      </c>
    </row>
  </sheetData>
  <mergeCells count="2">
    <mergeCell ref="A22:F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2026-04-06T19:34:46Z</dcterms:created>
  <dcterms:modified xmlns:dcterms="http://purl.org/dc/terms/" xmlns:xsi="http://www.w3.org/2001/XMLSchema-instance" xsi:type="dcterms:W3CDTF">2026-04-06T19:38:10Z</dcterms:modified>
</cp:coreProperties>
</file>