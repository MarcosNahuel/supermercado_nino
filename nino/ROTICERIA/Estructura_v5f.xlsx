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e87026540ae7b81/GitHub/supermercado_nino definitivo claude/nino/ROTICERIA/"/>
    </mc:Choice>
  </mc:AlternateContent>
  <xr:revisionPtr revIDLastSave="0" documentId="8_{BF7287EA-3954-4BFD-BA2B-AF2092FF73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structura Costos" sheetId="1" r:id="rId1"/>
    <sheet name="Simulador" sheetId="7" r:id="rId2"/>
    <sheet name="Ventas Mensuales" sheetId="2" r:id="rId3"/>
    <sheet name="Productos" sheetId="3" r:id="rId4"/>
    <sheet name="Costeo Recetas" sheetId="4" r:id="rId5"/>
    <sheet name="Sensibilizacion" sheetId="5" r:id="rId6"/>
    <sheet name="Comisiones Financieras" sheetId="6" r:id="rId7"/>
    <sheet name="Memoria de Calculo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7" l="1"/>
  <c r="C60" i="7"/>
  <c r="E59" i="7"/>
  <c r="C59" i="7"/>
  <c r="C58" i="7"/>
  <c r="D53" i="7"/>
  <c r="E53" i="7" s="1"/>
  <c r="C53" i="7"/>
  <c r="D52" i="7"/>
  <c r="E52" i="7" s="1"/>
  <c r="C52" i="7"/>
  <c r="D51" i="7"/>
  <c r="E51" i="7" s="1"/>
  <c r="C51" i="7"/>
  <c r="D50" i="7"/>
  <c r="E50" i="7" s="1"/>
  <c r="C50" i="7"/>
  <c r="D49" i="7"/>
  <c r="E49" i="7" s="1"/>
  <c r="C49" i="7"/>
  <c r="D48" i="7"/>
  <c r="E48" i="7" s="1"/>
  <c r="C48" i="7"/>
  <c r="D47" i="7"/>
  <c r="D54" i="7" s="1"/>
  <c r="C47" i="7"/>
  <c r="C54" i="7" s="1"/>
  <c r="D42" i="7"/>
  <c r="E42" i="7" s="1"/>
  <c r="D41" i="7"/>
  <c r="E41" i="7" s="1"/>
  <c r="D40" i="7"/>
  <c r="E40" i="7" s="1"/>
  <c r="D39" i="7"/>
  <c r="E39" i="7" s="1"/>
  <c r="D38" i="7"/>
  <c r="E38" i="7" s="1"/>
  <c r="D37" i="7"/>
  <c r="E37" i="7" s="1"/>
  <c r="D36" i="7"/>
  <c r="E36" i="7" s="1"/>
  <c r="C35" i="7"/>
  <c r="D35" i="7" s="1"/>
  <c r="E35" i="7" s="1"/>
  <c r="C34" i="7"/>
  <c r="D34" i="7" s="1"/>
  <c r="E34" i="7" s="1"/>
  <c r="D33" i="7"/>
  <c r="E33" i="7" s="1"/>
  <c r="D32" i="7"/>
  <c r="E32" i="7" s="1"/>
  <c r="C32" i="7"/>
  <c r="D31" i="7"/>
  <c r="E31" i="7" s="1"/>
  <c r="C31" i="7"/>
  <c r="D30" i="7"/>
  <c r="E30" i="7" s="1"/>
  <c r="C30" i="7"/>
  <c r="D29" i="7"/>
  <c r="E29" i="7" s="1"/>
  <c r="C29" i="7"/>
  <c r="D28" i="7"/>
  <c r="C28" i="7"/>
  <c r="C43" i="7" s="1"/>
  <c r="C43" i="6"/>
  <c r="B43" i="6"/>
  <c r="B45" i="6" s="1"/>
  <c r="C42" i="6"/>
  <c r="B42" i="6"/>
  <c r="B41" i="6"/>
  <c r="D36" i="6"/>
  <c r="C36" i="6"/>
  <c r="D35" i="6"/>
  <c r="C35" i="6"/>
  <c r="B35" i="6"/>
  <c r="E35" i="6" s="1"/>
  <c r="B81" i="1" s="1"/>
  <c r="D34" i="6"/>
  <c r="C34" i="6"/>
  <c r="B34" i="6"/>
  <c r="E34" i="6" s="1"/>
  <c r="C28" i="6"/>
  <c r="C27" i="6"/>
  <c r="B27" i="6"/>
  <c r="D27" i="6" s="1"/>
  <c r="B67" i="1" s="1"/>
  <c r="D26" i="6"/>
  <c r="B68" i="1" s="1"/>
  <c r="C26" i="6"/>
  <c r="B26" i="6"/>
  <c r="C25" i="6"/>
  <c r="B10" i="6"/>
  <c r="C9" i="6"/>
  <c r="B36" i="6" s="1"/>
  <c r="E36" i="6" s="1"/>
  <c r="B83" i="1" s="1"/>
  <c r="C8" i="6"/>
  <c r="C7" i="6"/>
  <c r="C6" i="6"/>
  <c r="B25" i="6" s="1"/>
  <c r="D25" i="6" s="1"/>
  <c r="B100" i="1"/>
  <c r="B92" i="1"/>
  <c r="B91" i="1"/>
  <c r="B90" i="1"/>
  <c r="B78" i="1"/>
  <c r="B73" i="1"/>
  <c r="B60" i="1"/>
  <c r="B50" i="1"/>
  <c r="B36" i="1"/>
  <c r="B35" i="1"/>
  <c r="B34" i="1"/>
  <c r="B33" i="1"/>
  <c r="B32" i="1"/>
  <c r="B30" i="1" s="1"/>
  <c r="B41" i="1" s="1"/>
  <c r="B62" i="1" s="1"/>
  <c r="B31" i="1"/>
  <c r="B21" i="1"/>
  <c r="B14" i="1"/>
  <c r="B8" i="1"/>
  <c r="B93" i="1" l="1"/>
  <c r="E54" i="7"/>
  <c r="C62" i="7"/>
  <c r="E62" i="7" s="1"/>
  <c r="D43" i="7"/>
  <c r="B75" i="1"/>
  <c r="C45" i="6"/>
  <c r="B51" i="6"/>
  <c r="C51" i="6" s="1"/>
  <c r="B74" i="1"/>
  <c r="B82" i="1"/>
  <c r="E37" i="6"/>
  <c r="C10" i="6"/>
  <c r="E47" i="7"/>
  <c r="E60" i="7"/>
  <c r="B28" i="6"/>
  <c r="D28" i="6" s="1"/>
  <c r="B69" i="1" s="1"/>
  <c r="E28" i="7"/>
  <c r="E43" i="7" l="1"/>
  <c r="C61" i="7"/>
  <c r="C65" i="7"/>
  <c r="C67" i="7" s="1"/>
  <c r="D29" i="6"/>
  <c r="B84" i="1"/>
  <c r="B50" i="6"/>
  <c r="C50" i="6" s="1"/>
  <c r="B49" i="6" l="1"/>
  <c r="B70" i="1"/>
  <c r="B86" i="1" s="1"/>
  <c r="E61" i="7"/>
  <c r="C63" i="7"/>
  <c r="C5" i="7" l="1"/>
  <c r="E63" i="7"/>
  <c r="E5" i="7"/>
  <c r="B94" i="1"/>
  <c r="B95" i="1" s="1"/>
  <c r="B99" i="1"/>
  <c r="B101" i="1" s="1"/>
  <c r="C49" i="6"/>
  <c r="B52" i="6"/>
  <c r="C52" i="6" s="1"/>
</calcChain>
</file>

<file path=xl/sharedStrings.xml><?xml version="1.0" encoding="utf-8"?>
<sst xmlns="http://schemas.openxmlformats.org/spreadsheetml/2006/main" count="1169" uniqueCount="921">
  <si>
    <t>ESTRUCTURA DE COSTOS - ROTISERIA NINO (BOSIN S.A.)</t>
  </si>
  <si>
    <t>Base: ultimos 31 dias (16/02/2026 - 18/03/2026) desestacionalizado | Elaborado: Marzo 2026</t>
  </si>
  <si>
    <t>1. VENTAS</t>
  </si>
  <si>
    <t>Concepto</t>
  </si>
  <si>
    <t>Monto Mensual ($)</t>
  </si>
  <si>
    <t>% s/Ventas</t>
  </si>
  <si>
    <t>Tasa/Base</t>
  </si>
  <si>
    <t>Notas</t>
  </si>
  <si>
    <t>VENTAS (facturacion bruta, IVA incluido)</t>
  </si>
  <si>
    <t>100.0%</t>
  </si>
  <si>
    <t>Factura B 97% - precio de gondola incluye IVA</t>
  </si>
  <si>
    <t xml:space="preserve">  Nota: los precios del POS incluyen IVA (Factura B). V es la facturacion real.</t>
  </si>
  <si>
    <t xml:space="preserve">  IVA estimado contenido en V (21%)</t>
  </si>
  <si>
    <t>Referencia - no se resta (ya esta dentro de V)</t>
  </si>
  <si>
    <t xml:space="preserve">  Tickets promedio/mes: 1,171 | Ticket prom: $9,437</t>
  </si>
  <si>
    <t xml:space="preserve">  Efectivo 47.1% | Debito 32.7% | Credito 9.6% | Billetera 10.6%</t>
  </si>
  <si>
    <t>2. COSTO DE MERCADERIA VENDIDA (CMV)</t>
  </si>
  <si>
    <t>% del CMV</t>
  </si>
  <si>
    <t>Insumos principales</t>
  </si>
  <si>
    <t>COSTO TOTAL INSUMOS</t>
  </si>
  <si>
    <t>70.0%</t>
  </si>
  <si>
    <t>100%</t>
  </si>
  <si>
    <t>Margen bruto 30% s/PVP (dato del sistema)</t>
  </si>
  <si>
    <t xml:space="preserve">  Empanadas</t>
  </si>
  <si>
    <t>34.9%</t>
  </si>
  <si>
    <t>50%</t>
  </si>
  <si>
    <t>Carne, masa, queso, verdura, aceite</t>
  </si>
  <si>
    <t xml:space="preserve">  Carnes elaboradas</t>
  </si>
  <si>
    <t>15.5%</t>
  </si>
  <si>
    <t>22%</t>
  </si>
  <si>
    <t>Matambre, pernil, lengua, pollo, condimentos</t>
  </si>
  <si>
    <t xml:space="preserve">  Pizzas y canelones</t>
  </si>
  <si>
    <t>6.0%</t>
  </si>
  <si>
    <t>9%</t>
  </si>
  <si>
    <t>Harina, muzzarella, salsa, carne, verdura</t>
  </si>
  <si>
    <t xml:space="preserve">  Milanesas</t>
  </si>
  <si>
    <t>3.9%</t>
  </si>
  <si>
    <t>6%</t>
  </si>
  <si>
    <t>Carne, pan rallado, huevo, aceite</t>
  </si>
  <si>
    <t xml:space="preserve">  Salsas</t>
  </si>
  <si>
    <t>1.5%</t>
  </si>
  <si>
    <t>2%</t>
  </si>
  <si>
    <t>Tomate, carne, condimentos</t>
  </si>
  <si>
    <t xml:space="preserve">  Otros elaborados</t>
  </si>
  <si>
    <t>8.3%</t>
  </si>
  <si>
    <t>12%</t>
  </si>
  <si>
    <t>Varios (tartas, fiambres, preparaciones)</t>
  </si>
  <si>
    <t>MARGEN BRUTO</t>
  </si>
  <si>
    <t>30.0%</t>
  </si>
  <si>
    <t>Ventas - CMV</t>
  </si>
  <si>
    <t xml:space="preserve">  Sensibilizar: 25%, 30%, 35% (ver hoja Sensibilizacion)</t>
  </si>
  <si>
    <t>3. COSTOS FIJOS</t>
  </si>
  <si>
    <t>3.1 SUELDOS Y CARGAS SOCIALES</t>
  </si>
  <si>
    <t>Sueldos brutos (3 empleados)</t>
  </si>
  <si>
    <t>32.0%</t>
  </si>
  <si>
    <t>$1,180,274 c/u</t>
  </si>
  <si>
    <t>CCT 130/75 Aux.Esp.A (Mar 2026)</t>
  </si>
  <si>
    <t xml:space="preserve">  - Remunerativo</t>
  </si>
  <si>
    <t>$1,080,274 c/u</t>
  </si>
  <si>
    <t>Base contribuciones (F.930)</t>
  </si>
  <si>
    <t xml:space="preserve">  - No Remunerativo</t>
  </si>
  <si>
    <t>$100,000 c/u</t>
  </si>
  <si>
    <t>No genera cargas patronales</t>
  </si>
  <si>
    <t>Contribuciones patronales (F.930)</t>
  </si>
  <si>
    <t>8.7%</t>
  </si>
  <si>
    <t>29.74% s/rem</t>
  </si>
  <si>
    <t>Base: celda B28 (solo remunerativo)</t>
  </si>
  <si>
    <t xml:space="preserve">  - Jubilacion (SIPA)</t>
  </si>
  <si>
    <t>12.71%</t>
  </si>
  <si>
    <t>Ley 24.241. Alicuota NO MiPyME servicios/comercio</t>
  </si>
  <si>
    <t xml:space="preserve">  - PAMI (Ley 19.032)</t>
  </si>
  <si>
    <t>1.58%</t>
  </si>
  <si>
    <t>Ley 19.032 Art. 8</t>
  </si>
  <si>
    <t xml:space="preserve">  - Asignaciones Familiares</t>
  </si>
  <si>
    <t>5.56%</t>
  </si>
  <si>
    <t>Ley 24.714 Art. 5</t>
  </si>
  <si>
    <t xml:space="preserve">  - Fondo Nacional de Empleo</t>
  </si>
  <si>
    <t>0.89%</t>
  </si>
  <si>
    <t>Ley 24.013 Art. 145</t>
  </si>
  <si>
    <t xml:space="preserve">  - Obra Social patronal</t>
  </si>
  <si>
    <t>6.00%</t>
  </si>
  <si>
    <t>Ley 23.660 Art. 16</t>
  </si>
  <si>
    <t xml:space="preserve">  - ART (estimado)</t>
  </si>
  <si>
    <t>~3.00%</t>
  </si>
  <si>
    <t>Ley 24.557. Varia segun siniestralidad</t>
  </si>
  <si>
    <t>SAC proporcional (1/12)</t>
  </si>
  <si>
    <t>3.4%</t>
  </si>
  <si>
    <t>Aguinaldo s/(rem + presentismo + cargas)</t>
  </si>
  <si>
    <t>Seguro Vida Obligatorio</t>
  </si>
  <si>
    <t>~$500 c/u</t>
  </si>
  <si>
    <t>Decreto 1567/74</t>
  </si>
  <si>
    <t>Presentismo (Art. 40 CCT 130/75)</t>
  </si>
  <si>
    <t>3.2%</t>
  </si>
  <si>
    <t>8.33% s/basico</t>
  </si>
  <si>
    <t>Bruto $270,069 + CP $80,319</t>
  </si>
  <si>
    <t>Provision vacaciones (14 dias)</t>
  </si>
  <si>
    <t>1.8%</t>
  </si>
  <si>
    <t>Art.150 LCT - bruto $151,239 + CP $44,978</t>
  </si>
  <si>
    <t>SUBTOTAL LABORAL</t>
  </si>
  <si>
    <t>49.2%</t>
  </si>
  <si>
    <t>3.2 SERVICIOS (prorrateo rotiseria)</t>
  </si>
  <si>
    <t>Gas natural (250 m3/mes)</t>
  </si>
  <si>
    <t>1.2%</t>
  </si>
  <si>
    <t>$308/m3+imp</t>
  </si>
  <si>
    <t>Ecogas Cuyana SGP P1-P2 (ENARGAS Res 89/2026)</t>
  </si>
  <si>
    <t xml:space="preserve">  Tarifa+IVA 21%+Fdo Fiduc 6.8%+IIBB 3%+tasa muni ~5% = factor 1.315</t>
  </si>
  <si>
    <t xml:space="preserve">  Equipamiento: horno convector 8 band. ~4.3h/dia + cocina 2 horn. ~2h/dia</t>
  </si>
  <si>
    <t>Electricidad (500 kWh/mes)</t>
  </si>
  <si>
    <t>1.6%</t>
  </si>
  <si>
    <t>$234/kWh+imp</t>
  </si>
  <si>
    <t>EDEMSA T1-G (Res EPRE 025/2026)</t>
  </si>
  <si>
    <t xml:space="preserve">  Tarifa+IVA 21%+CCCE 7.5%+EPRE 1.5%+IIBB 3%+CAP ~3% = factor 1.39</t>
  </si>
  <si>
    <t xml:space="preserve">  Equipamiento: vitrina exhibidora + heladera insumos + campana + iluminacion</t>
  </si>
  <si>
    <t>SUBTOTAL SERVICIOS</t>
  </si>
  <si>
    <t>2.8%</t>
  </si>
  <si>
    <t>Estimado - validar con facturas reales</t>
  </si>
  <si>
    <t>3.3 OTROS COSTOS FIJOS (estimados)</t>
  </si>
  <si>
    <t xml:space="preserve">  Descartables / packaging</t>
  </si>
  <si>
    <t>0.7%</t>
  </si>
  <si>
    <t>Bandejas aluminio, bolsas, film, envases</t>
  </si>
  <si>
    <t xml:space="preserve">  Mantenimiento equipos</t>
  </si>
  <si>
    <t>0.3%</t>
  </si>
  <si>
    <t>Service horno y heladeras, repuestos</t>
  </si>
  <si>
    <t xml:space="preserve">  Seguros (incendio, RC)</t>
  </si>
  <si>
    <t>0.2%</t>
  </si>
  <si>
    <t>Prorrateo por m2 rotiseria</t>
  </si>
  <si>
    <t xml:space="preserve">  Indumentaria / EPP</t>
  </si>
  <si>
    <t>0.1%</t>
  </si>
  <si>
    <t>Delantales, gorros, guantes (3 empleados)</t>
  </si>
  <si>
    <t xml:space="preserve">  Agua (prorrateo)</t>
  </si>
  <si>
    <t>Limpieza y coccion</t>
  </si>
  <si>
    <t xml:space="preserve">  Habilitacion bromatologica</t>
  </si>
  <si>
    <t>Anual / 12. Obligatoria elaboracion alimentos</t>
  </si>
  <si>
    <t xml:space="preserve">  Habilitacion municipal</t>
  </si>
  <si>
    <t>Tasa comercio Lujan de Cuyo / 12</t>
  </si>
  <si>
    <t>SUBTOTAL OTROS FIJOS</t>
  </si>
  <si>
    <t>1.7%</t>
  </si>
  <si>
    <t>Estimados - ajustar con datos reales</t>
  </si>
  <si>
    <t>TOTAL COSTOS FIJOS</t>
  </si>
  <si>
    <t>53.6%</t>
  </si>
  <si>
    <t>Laboral + Servicios + Otros</t>
  </si>
  <si>
    <t>4. COSTOS VARIABLES (% sobre ventas)</t>
  </si>
  <si>
    <t>4.1 COMISIONES TARJETAS</t>
  </si>
  <si>
    <t>Tarjeta Credito (9.6% ventas)</t>
  </si>
  <si>
    <t>0.29%</t>
  </si>
  <si>
    <t>3.0%</t>
  </si>
  <si>
    <t>Ver 'Comisiones Financieras' Bloque 3 | Mix 9.6% credito x 3% comision</t>
  </si>
  <si>
    <t>Tarjeta Debito (32.7% ventas)</t>
  </si>
  <si>
    <t>0.39%</t>
  </si>
  <si>
    <t>Ver 'Comisiones Financieras' Bloque 3 | Mix 32.7% debito x 1.2% comision</t>
  </si>
  <si>
    <t>Billetera Virtual (10.6% ventas)</t>
  </si>
  <si>
    <t>0.16%</t>
  </si>
  <si>
    <t>Ver 'Comisiones Financieras' Bloque 3 | Mix 10.6% billetera x 1.5% comision</t>
  </si>
  <si>
    <t>Subtotal comisiones</t>
  </si>
  <si>
    <t>0.84%</t>
  </si>
  <si>
    <t>4.2 IMPUESTOS OPERATIVOS</t>
  </si>
  <si>
    <t>Ingresos Brutos (Mendoza)</t>
  </si>
  <si>
    <t>2.5%</t>
  </si>
  <si>
    <t>3.0% s/V neto IVA</t>
  </si>
  <si>
    <t>Base: B6/1.21 (Art. 169 CF Mza). Ley 9680 Rubro 7</t>
  </si>
  <si>
    <t>Imp. Debitos y Creditos Bancarios</t>
  </si>
  <si>
    <t>0.64%</t>
  </si>
  <si>
    <t>1.2% s/bancarizado</t>
  </si>
  <si>
    <t>Ver 'Comisiones Financieras' Bloque 5 | Base: V x 53% bancarizado x 1.2%</t>
  </si>
  <si>
    <t>Subtotal impuestos</t>
  </si>
  <si>
    <t>3.1%</t>
  </si>
  <si>
    <t>4.3 MERMA / DESCARTE</t>
  </si>
  <si>
    <t>Merma estimada</t>
  </si>
  <si>
    <t>5.0%</t>
  </si>
  <si>
    <t>Rotiseria tipico 3-8%. AJUSTAR con dato real</t>
  </si>
  <si>
    <t>4.4 COSTO FINANCIERO (demora acreditacion tarjetas)</t>
  </si>
  <si>
    <t>Credito (9.6% x 18d)</t>
  </si>
  <si>
    <t>0.19%</t>
  </si>
  <si>
    <t>TNA 40%</t>
  </si>
  <si>
    <t>B6 x 0.0964 x 0.4 x 18/365</t>
  </si>
  <si>
    <t>Debito (32.7% x 3d)</t>
  </si>
  <si>
    <t>0.11%</t>
  </si>
  <si>
    <t>B6 x 0.3271 x 0.4 x 3/365</t>
  </si>
  <si>
    <t>Billetera (10.6% x 2d)</t>
  </si>
  <si>
    <t>0.02%</t>
  </si>
  <si>
    <t>B6 x 0.1058 x 0.4 x 2/365</t>
  </si>
  <si>
    <t>Subtotal costo financiero</t>
  </si>
  <si>
    <t>0.32%</t>
  </si>
  <si>
    <t>Costo de oportunidad por demora en cobro</t>
  </si>
  <si>
    <t>TOTAL COSTOS VARIABLES</t>
  </si>
  <si>
    <t>9.3%</t>
  </si>
  <si>
    <t>5. RESULTADO - MARGEN DE CONTRIBUCION</t>
  </si>
  <si>
    <t>Ventas Netas</t>
  </si>
  <si>
    <t>(-) CMV</t>
  </si>
  <si>
    <t>(-) Costos Fijos</t>
  </si>
  <si>
    <t>(-) Costos Variables</t>
  </si>
  <si>
    <t>RESULTADO NETO</t>
  </si>
  <si>
    <t>-32.9%</t>
  </si>
  <si>
    <t>DEFICITARIO</t>
  </si>
  <si>
    <t xml:space="preserve">  Items en amarillo son estimados. Ajustar con datos reales.</t>
  </si>
  <si>
    <t>6. PUNTO DE EQUILIBRIO</t>
  </si>
  <si>
    <t>Ventas necesarias para cubrir costos fijos (margen 30%)</t>
  </si>
  <si>
    <t>PE = CF / (MG% - CV%)</t>
  </si>
  <si>
    <t>Ventas actuales promedio</t>
  </si>
  <si>
    <t>Cobertura punto de equilibrio</t>
  </si>
  <si>
    <t>INSUFICIENTE</t>
  </si>
  <si>
    <t>SUPUESTOS</t>
  </si>
  <si>
    <t xml:space="preserve">  1. Empresa NO inscripta como MiPyME - Contribuciones patronales SUSS al 20.74% (si obtiene certificado MiPyME baja a 18%)</t>
  </si>
  <si>
    <t xml:space="preserve">  2. CCT 130/75 Empleados de Comercio - Categoria Auxiliar Especializado A, sin antiguedad</t>
  </si>
  <si>
    <t xml:space="preserve">  3. Sueldo: $1,080,274 remunerativo + $100,000 NR = $1,180,274/empleado (escala Dic 2025 - Mar 2026)</t>
  </si>
  <si>
    <t xml:space="preserve">  4. Contribuciones patronales (29.74%) calculadas SOLO sobre remunerativo. NR no genera cargas</t>
  </si>
  <si>
    <t xml:space="preserve">  5. SAC mensualizado sobre base remunerativa + contribuciones</t>
  </si>
  <si>
    <t xml:space="preserve">  6. Presentismo: 8.33% s/basico (Art. 40 CCT 130/75), remunerativo + CP. $350,388/mes</t>
  </si>
  <si>
    <t xml:space="preserve">  7. Provision vacaciones: 14 dias/anio (Art. 150 LCT), mensualizado + CP. $196,217/mes</t>
  </si>
  <si>
    <t xml:space="preserve">  8. Margen bruto sobre PVP: 30% (parametro del sistema de facturacion)</t>
  </si>
  <si>
    <t xml:space="preserve">  9. Mix medios de pago: EF 47.1%, DE 32.7%, CR 9.6%, BI 10.6% (solo meses completos: Dic 2025, Ene-Feb 2026)</t>
  </si>
  <si>
    <t xml:space="preserve">  10. Comisiones: Credito 3%, Debito 1.2%, Billetera 1.5% (promedios de mercado)</t>
  </si>
  <si>
    <t xml:space="preserve">  11. IIBB Mendoza: 3% sobre base sin IVA (Ley 9680 Rubro 7, Art. 169 CF excluye IVA DF). Base: $9,132,517</t>
  </si>
  <si>
    <t xml:space="preserve">  12. Imp. Debitos/Creditos: 1.2% sobre monto bancarizado (53% de ventas). Efectivo no genera movimiento bancario</t>
  </si>
  <si>
    <t xml:space="preserve">  13. Merma estimada: 5% (ajustar con medicion real, tipico rotiseria 3-8%)</t>
  </si>
  <si>
    <t xml:space="preserve">  14. Costo financiero: TNA 40% × dias demora acreditacion (CR 18d, DE 3d, BI 2d). Total $35,466/mes</t>
  </si>
  <si>
    <t xml:space="preserve">  15. V incluye IVA (97% Factura B, precio de gondola). Los calculos son sobre facturacion bruta real</t>
  </si>
  <si>
    <t xml:space="preserve">  16. Ventas: ultimos 31 dias reales (16/02/2026 - 18/03/2026) desestacionalizados con indice 2025</t>
  </si>
  <si>
    <t xml:space="preserve">  17. Indice estacional ponderado ventana: 1.0095 (10 meses completos 2025, excl Oct-Nov incompletos)</t>
  </si>
  <si>
    <t xml:space="preserve">  18. Gas: 250 m3/mes estimado (horno convector 8 band. + cocina 2 horn., basado en produccion real 41 items/dia)</t>
  </si>
  <si>
    <t xml:space="preserve">  19. Gas tarifa: Ecogas Cuyana SGP P1-P2 $307.77/m3 + CF $24,129/mes × 1.315 (IVA+tributos). ENARGAS Res 89/2026</t>
  </si>
  <si>
    <t xml:space="preserve">  20. Electricidad: 500 kWh/mes estimado (vitrina + heladera insumos + campana + iluminacion)</t>
  </si>
  <si>
    <t xml:space="preserve">  21. Electricidad tarifa: EDEMSA T1-G $233.58/kWh + CF $16,114/bim × 1.39 (IVA+tributos). EPRE Res 025/2026</t>
  </si>
  <si>
    <t>VENTAS MENSUALES ROTISERIA - DETALLE</t>
  </si>
  <si>
    <t>Periodo</t>
  </si>
  <si>
    <t>Ventas ($)</t>
  </si>
  <si>
    <t>Tickets</t>
  </si>
  <si>
    <t>Items</t>
  </si>
  <si>
    <t>Ticket Prom</t>
  </si>
  <si>
    <t>Efectivo ($)</t>
  </si>
  <si>
    <t>Debito ($)</t>
  </si>
  <si>
    <t>Credito ($)</t>
  </si>
  <si>
    <t>Billetera ($)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</si>
  <si>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</si>
  <si>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</si>
  <si>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</si>
  <si>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</si>
  <si>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</si>
  <si>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</si>
  <si>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</si>
  <si>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</si>
  <si>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</si>
  <si>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</si>
  <si>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</si>
  <si>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</si>
  <si>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</si>
  <si>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</si>
  <si>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</si>
  <si>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</si>
  <si>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</si>
  <si>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</si>
  <si>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TOTAL</t>
  </si>
  <si>
    <t>PRODUCTOS ROTISERIA - CLASIFICACION ABC</t>
  </si>
  <si>
    <t>Producto</t>
  </si>
  <si>
    <t>Cantidad</t>
  </si>
  <si>
    <t>Precio Prom ($)</t>
  </si>
  <si>
    <t>% Ventas</t>
  </si>
  <si>
    <t>% Acum</t>
  </si>
  <si>
    <t>MATAMBRE NINO</t>
  </si>
  <si>
    <t>EMPANADA CARNE X 12 UN.</t>
  </si>
  <si>
    <t>EMPANADA CARNE X 6 UN.</t>
  </si>
  <si>
    <t>EMPANADA J&amp;Q X 6 UN.</t>
  </si>
  <si>
    <t>EMPANADA POLLO X 6 UN.</t>
  </si>
  <si>
    <t>LENGUA A LA VINAGRETA NINO</t>
  </si>
  <si>
    <t>MIGA TRIP. X 12 UNI.</t>
  </si>
  <si>
    <t>EMPANADA VERDURA X 6 UN.</t>
  </si>
  <si>
    <t>EMPANADA HUMITA X 6 UN.</t>
  </si>
  <si>
    <t>PERNIL DE CERDO HORNEADO NINO</t>
  </si>
  <si>
    <t>PIZZA C/JAMON NINO</t>
  </si>
  <si>
    <t>EMPANADA CAPRESE X 6 UN.</t>
  </si>
  <si>
    <t>ARROLLADO DE POLLO NINO</t>
  </si>
  <si>
    <t>CANELONES CAR Y VER NINO</t>
  </si>
  <si>
    <t>PIZZA MUZZARELLA NINO</t>
  </si>
  <si>
    <t>SALSA BOLOGNESA NINO</t>
  </si>
  <si>
    <t>MIGA TRIP. X 6 UNI.</t>
  </si>
  <si>
    <t>EMPANADA J&amp;Q X 12 UN.</t>
  </si>
  <si>
    <t>EMPANADA CEB/QUEX 6 UN.</t>
  </si>
  <si>
    <t>TORTILLA DE PAPA NINO</t>
  </si>
  <si>
    <t>PATITAS ALIÑADAS NINO</t>
  </si>
  <si>
    <t>ENSALADA RUSA NINO</t>
  </si>
  <si>
    <t>ENSALADA MIXTA NINO</t>
  </si>
  <si>
    <t>ROTISERIA</t>
  </si>
  <si>
    <t>ARROZ CON POLLO</t>
  </si>
  <si>
    <t>CANELONES VERD Y RIC NINO</t>
  </si>
  <si>
    <t>EMPANADA ATUN X 6 UN.</t>
  </si>
  <si>
    <t>BERENJENAS EN ESCABECHE NINO</t>
  </si>
  <si>
    <t>MIGA TRIPLE X 100 UN.</t>
  </si>
  <si>
    <t>POROTOS ALIÑADOS NINO</t>
  </si>
  <si>
    <t>CANELONES HUMITA NINO</t>
  </si>
  <si>
    <t>EMPANADA CARNE X 18 UN.</t>
  </si>
  <si>
    <t>LOCRO NINO PORCION X 600 GRS</t>
  </si>
  <si>
    <t>CUERITOS DE CERDO ALIÑADOS NINO</t>
  </si>
  <si>
    <t>GUISO DE MONDONGO</t>
  </si>
  <si>
    <t>EMPANADA POLLO X 12 UN.</t>
  </si>
  <si>
    <t>EMPANADA HUMITA X 12 UN.</t>
  </si>
  <si>
    <t>CEBOLLITAS EN ESCABECHE NINO</t>
  </si>
  <si>
    <t>EMPANADA SURTIDAS X 6UN.</t>
  </si>
  <si>
    <t>PIZZA FUGAZZA NINO</t>
  </si>
  <si>
    <t>EMPANADA J&amp;Q X 18 UN.</t>
  </si>
  <si>
    <t>EMPANADA CAPRESE X12 UN.</t>
  </si>
  <si>
    <t>EMPANADA POR UNIDAD</t>
  </si>
  <si>
    <t>MIGA SIMP. J Y Q X 100 U</t>
  </si>
  <si>
    <t>EMPANADA CARNE X 3 UN.</t>
  </si>
  <si>
    <t>EMPANADA POLLO X 3 UN.</t>
  </si>
  <si>
    <t>EMPANADA VERDURA X 12 UN.</t>
  </si>
  <si>
    <t>EMPANADA CAPRESE X 3 UN.</t>
  </si>
  <si>
    <t>ALIÑO CHIMICHURRI NINO</t>
  </si>
  <si>
    <t>EMPANADA ATUN X 12 UN.</t>
  </si>
  <si>
    <t>EMPANADA J&amp;Q X 3 UN.</t>
  </si>
  <si>
    <t>EMPANADA CEB/QUEX12 UN.</t>
  </si>
  <si>
    <t>EMPANADA CEB/QUE X 3 UN.</t>
  </si>
  <si>
    <t>EMPANADA ATUN X 3 UN.</t>
  </si>
  <si>
    <t>PANQUEQUES NINO 6 UNI.</t>
  </si>
  <si>
    <t>EMPANADA HUMITA X 3 UN.</t>
  </si>
  <si>
    <t>MIGA TRIPLE X 50 UN.</t>
  </si>
  <si>
    <t>MIGA SAL /QUE X 12 UN.</t>
  </si>
  <si>
    <t>EMPANADA VERDURA X 3 UN.</t>
  </si>
  <si>
    <t>EMPANADA POLLO X 1 UN.</t>
  </si>
  <si>
    <t>EMPANADA ATUN 1 UN.</t>
  </si>
  <si>
    <t>EMPANADA CEB/QUE X 1UN.</t>
  </si>
  <si>
    <t>MIGA SAL / QUE X 6 UN.</t>
  </si>
  <si>
    <t>VITEL TONE NINO</t>
  </si>
  <si>
    <t xml:space="preserve">  Verde = Core (80%) | Amarillo = Complementario (80-95%) | Sin color = Marginal</t>
  </si>
  <si>
    <t>COSTEO POR RECETA - INSUMOS ROTISERIA NINO</t>
  </si>
  <si>
    <t>Precios insumos: mas baratos del POS Feb 2026 × factor costo por rubro (rentabilidad_factor) | Validacion del margen 30%</t>
  </si>
  <si>
    <t>PRECIOS DE INSUMOS (POS supermercado Feb 2026)</t>
  </si>
  <si>
    <t>Insumo</t>
  </si>
  <si>
    <t>Precio Retail</t>
  </si>
  <si>
    <t>Unidad</t>
  </si>
  <si>
    <t>Factor Costo</t>
  </si>
  <si>
    <t>Costo Est.</t>
  </si>
  <si>
    <t>Fuente</t>
  </si>
  <si>
    <t>Carne picada especial</t>
  </si>
  <si>
    <t>$/kg</t>
  </si>
  <si>
    <t>×0.8</t>
  </si>
  <si>
    <t>CARNICERIA - MOLIDA ESPECIAL (mas barato Feb 26)</t>
  </si>
  <si>
    <t>Matambre vacuno crudo</t>
  </si>
  <si>
    <t>CARNICERIA - MATAMBRE</t>
  </si>
  <si>
    <t>Suprema pollo</t>
  </si>
  <si>
    <t>POLLO - SUPREMA DE POLLO</t>
  </si>
  <si>
    <t>Pernil chancho cong.</t>
  </si>
  <si>
    <t>×0.72</t>
  </si>
  <si>
    <t>CONGELADOS - PERNIL CHANCHO</t>
  </si>
  <si>
    <t>Lengua vacuna</t>
  </si>
  <si>
    <t>CARNICERIA - LENGUA X KG</t>
  </si>
  <si>
    <t>Paleta cocida</t>
  </si>
  <si>
    <t>×0.55</t>
  </si>
  <si>
    <t>FIAMBRERIA - PIAMONTESA PALETA 131 (mas barata)</t>
  </si>
  <si>
    <t>Muzzarella Jumial</t>
  </si>
  <si>
    <t>FIAMBRERIA - MUZARELLA JUMIAL</t>
  </si>
  <si>
    <t>Ricota Jumial</t>
  </si>
  <si>
    <t>FIAMBRERIA - RICOTA JUMIAL S/TACC</t>
  </si>
  <si>
    <t>Tapas empanada x12</t>
  </si>
  <si>
    <t>$/doc</t>
  </si>
  <si>
    <t>×0.7</t>
  </si>
  <si>
    <t>PANIFIC. - VIA VENETO (mas barata)</t>
  </si>
  <si>
    <t>Pan de miga x25</t>
  </si>
  <si>
    <t>$/pack</t>
  </si>
  <si>
    <t>PANIFIC. - LUISANA MIGA X 25 (mas barata)</t>
  </si>
  <si>
    <t>Harina 0000</t>
  </si>
  <si>
    <t>HARINAS - FLORENCIA 0000 1KG</t>
  </si>
  <si>
    <t>Huevos x6</t>
  </si>
  <si>
    <t>HUEVOS FRESCOS</t>
  </si>
  <si>
    <t>Pan rallado 500g</t>
  </si>
  <si>
    <t>$/500g</t>
  </si>
  <si>
    <t>ALMACEN - PREFERIDO (mas barato)</t>
  </si>
  <si>
    <t>Pure tomate 520g</t>
  </si>
  <si>
    <t>$/u</t>
  </si>
  <si>
    <t>ALMACEN - ARCOR</t>
  </si>
  <si>
    <t>COSTEO POR RECETA</t>
  </si>
  <si>
    <t>Producto / Insumo</t>
  </si>
  <si>
    <t>Costo (×0.70)</t>
  </si>
  <si>
    <t>PVP</t>
  </si>
  <si>
    <t>Margen %</t>
  </si>
  <si>
    <t>% Ventas rotis.</t>
  </si>
  <si>
    <t>EMPANADA CARNE x12</t>
  </si>
  <si>
    <t>49.8%</t>
  </si>
  <si>
    <t xml:space="preserve">  Carne picada especial</t>
  </si>
  <si>
    <t>kg</t>
  </si>
  <si>
    <t xml:space="preserve">  Tapas empanada x12</t>
  </si>
  <si>
    <t>doc</t>
  </si>
  <si>
    <t xml:space="preserve">  Cebolla</t>
  </si>
  <si>
    <t xml:space="preserve">  Huevo (1/2)</t>
  </si>
  <si>
    <t>u</t>
  </si>
  <si>
    <t xml:space="preserve">  Condimentos/grasa</t>
  </si>
  <si>
    <t>lote</t>
  </si>
  <si>
    <t xml:space="preserve">  COSTO TOTAL</t>
  </si>
  <si>
    <t>48%</t>
  </si>
  <si>
    <t>EMPANADA J&amp;Q x6</t>
  </si>
  <si>
    <t>5.2%</t>
  </si>
  <si>
    <t xml:space="preserve">  Paleta cocida</t>
  </si>
  <si>
    <t xml:space="preserve">  Muzzarella Jumial</t>
  </si>
  <si>
    <t xml:space="preserve">  Tapas empanada x6</t>
  </si>
  <si>
    <t xml:space="preserve">  Condimentos</t>
  </si>
  <si>
    <t>73%</t>
  </si>
  <si>
    <t>MATAMBRE NINO (por kg)</t>
  </si>
  <si>
    <t>13.9%</t>
  </si>
  <si>
    <t xml:space="preserve">  Matambre vacuno crudo</t>
  </si>
  <si>
    <t xml:space="preserve">  Condimentos/vinagre</t>
  </si>
  <si>
    <t>PIZZA MUZZARELLA</t>
  </si>
  <si>
    <t>2.2%</t>
  </si>
  <si>
    <t xml:space="preserve">  Harina 0000</t>
  </si>
  <si>
    <t xml:space="preserve">  Salsa tomate</t>
  </si>
  <si>
    <t xml:space="preserve">  Levadura/sal/aceite</t>
  </si>
  <si>
    <t>81%</t>
  </si>
  <si>
    <t>CANELONES CAR/VER (u)</t>
  </si>
  <si>
    <t xml:space="preserve">  Carne picada</t>
  </si>
  <si>
    <t xml:space="preserve">  Tapas canelones/masa</t>
  </si>
  <si>
    <t xml:space="preserve">  Ricota Jumial</t>
  </si>
  <si>
    <t>75%</t>
  </si>
  <si>
    <t>LENGUA VINAGRETA (pieza)</t>
  </si>
  <si>
    <t>2.9%</t>
  </si>
  <si>
    <t xml:space="preserve">  Lengua vacuna</t>
  </si>
  <si>
    <t xml:space="preserve">  Vinagre/condimentos</t>
  </si>
  <si>
    <t>36%</t>
  </si>
  <si>
    <t>PERNIL CERDO (pieza)</t>
  </si>
  <si>
    <t>2.4%</t>
  </si>
  <si>
    <t xml:space="preserve">  Pernil chancho congelado</t>
  </si>
  <si>
    <t xml:space="preserve">  Condimentos/adobo</t>
  </si>
  <si>
    <t>59%</t>
  </si>
  <si>
    <t>ARROLLADO POLLO (pieza)</t>
  </si>
  <si>
    <t xml:space="preserve">  Suprema pollo</t>
  </si>
  <si>
    <t xml:space="preserve">  Paleta/queso relleno</t>
  </si>
  <si>
    <t>66%</t>
  </si>
  <si>
    <t>MIGA TRIPLE x12 (sandwich)</t>
  </si>
  <si>
    <t>2.6%</t>
  </si>
  <si>
    <t xml:space="preserve">  Pan de miga x25</t>
  </si>
  <si>
    <t>pack25</t>
  </si>
  <si>
    <t xml:space="preserve">  Condimentos/mayo</t>
  </si>
  <si>
    <t>29%</t>
  </si>
  <si>
    <t>SALSA BOLOGNESA (u)</t>
  </si>
  <si>
    <t xml:space="preserve">  Tomate triturado</t>
  </si>
  <si>
    <t xml:space="preserve">  Cebolla/condimentos</t>
  </si>
  <si>
    <t>43%</t>
  </si>
  <si>
    <t>MARGEN PONDERADO (estos productos)</t>
  </si>
  <si>
    <t>43.9%</t>
  </si>
  <si>
    <t>Margen asumido en estructura de costos</t>
  </si>
  <si>
    <t xml:space="preserve">  Factor costo diferenciado por rubro: Carniceria/Pollo ×0.80 (rf=20%), Fiambreria ×0.55 (rf=45%), Almacen ×0.72 (rf=28%), Panific ×0.70 (rf=30%)</t>
  </si>
  <si>
    <t xml:space="preserve">  Verde = margen &gt;25% | Amarillo = margen 0-25% | Rojo = margen negativo (vende a perdida)</t>
  </si>
  <si>
    <t>ANALISIS DE SENSIBILIDAD - MARGEN DE CONTRIBUCION</t>
  </si>
  <si>
    <t>Escenarios variando Margen Bruto y Merma:</t>
  </si>
  <si>
    <t>Escenario</t>
  </si>
  <si>
    <t>Margen Bruto %</t>
  </si>
  <si>
    <t>Merma %</t>
  </si>
  <si>
    <t>Margen Contrib ($)</t>
  </si>
  <si>
    <t>MC % s/Ventas</t>
  </si>
  <si>
    <t>Estado</t>
  </si>
  <si>
    <t>Pesimista</t>
  </si>
  <si>
    <t>25%</t>
  </si>
  <si>
    <t>8%</t>
  </si>
  <si>
    <t>-40.9%</t>
  </si>
  <si>
    <t>DEFICIT</t>
  </si>
  <si>
    <t>Conservador</t>
  </si>
  <si>
    <t>28%</t>
  </si>
  <si>
    <t>-35.9%</t>
  </si>
  <si>
    <t>Base</t>
  </si>
  <si>
    <t>30%</t>
  </si>
  <si>
    <t>5%</t>
  </si>
  <si>
    <t>Optimista</t>
  </si>
  <si>
    <t>33%</t>
  </si>
  <si>
    <t>3%</t>
  </si>
  <si>
    <t>-27.9%</t>
  </si>
  <si>
    <t>Ideal</t>
  </si>
  <si>
    <t>35%</t>
  </si>
  <si>
    <t>-24.9%</t>
  </si>
  <si>
    <t>Punto de equilibrio por escenario:</t>
  </si>
  <si>
    <t>Vtas Equilibrio ($)</t>
  </si>
  <si>
    <t>Cobertura %</t>
  </si>
  <si>
    <t>24%</t>
  </si>
  <si>
    <t>39%</t>
  </si>
  <si>
    <t>54%</t>
  </si>
  <si>
    <t xml:space="preserve">  NOTA: Si la empresa obtiene certificado MiPyME, las contribuciones bajan de 20.74% a 18% SUSS, mejorando todos los escenarios.</t>
  </si>
  <si>
    <t>COMISIONES Y CARGA FINANCIERA - ROTISERIA NINO</t>
  </si>
  <si>
    <t>Mix de medios de pago: meses completos Dic 2025 - Feb 2026. Fuente: POS NINO. Celdas en amarillo = parametros ajustables.</t>
  </si>
  <si>
    <t>1. MIX DE MEDIOS DE PAGO  (real POS - meses completos)</t>
  </si>
  <si>
    <t>Medio de Pago</t>
  </si>
  <si>
    <t>Mix % (real)</t>
  </si>
  <si>
    <t>Monto mensual ($)</t>
  </si>
  <si>
    <t>Nota</t>
  </si>
  <si>
    <t>Efectivo</t>
  </si>
  <si>
    <t>No genera comisiones ni ICH</t>
  </si>
  <si>
    <t>Tarjeta Debito</t>
  </si>
  <si>
    <t>Comision 1.2% | Acreditacion 3 dias habiles</t>
  </si>
  <si>
    <t>Tarjeta Credito</t>
  </si>
  <si>
    <t>Comision 3.0% | Acreditacion 18 dias habiles</t>
  </si>
  <si>
    <t>Billetera Virtual</t>
  </si>
  <si>
    <t>Comision 1.5% | Acreditacion 2 dias habiles</t>
  </si>
  <si>
    <t>Debe sumar 100%</t>
  </si>
  <si>
    <t>2. PARAMETROS COMERCIALES  (celdas en amarillo - ajustar segun contrato)</t>
  </si>
  <si>
    <t xml:space="preserve">  Modificar estas celdas para simular diferentes contratos con procesadoras. NO modificar el mix % (viene del POS).</t>
  </si>
  <si>
    <t>Canal</t>
  </si>
  <si>
    <t>Tasa comision</t>
  </si>
  <si>
    <t>Dias acreditacion</t>
  </si>
  <si>
    <t>Fuente / Nota</t>
  </si>
  <si>
    <t>No aplica</t>
  </si>
  <si>
    <t>Tasa promedio procesadoras. AJUSTAR con contrato real</t>
  </si>
  <si>
    <t>Mercado Pago y otras. AJUSTAR</t>
  </si>
  <si>
    <t>TNA costo financiero (demora acreditacion)</t>
  </si>
  <si>
    <t>Tasa Nominal Anual. Cred. comercial Mar 2026. AJUSTAR</t>
  </si>
  <si>
    <t>3. CALCULO DE COMISIONES POR CANAL</t>
  </si>
  <si>
    <t xml:space="preserve">  Formula: Comision = Ventas ('Estructura Costos'!B6) x Mix% (col B arriba) x Tasa comision (Bloque 2)</t>
  </si>
  <si>
    <t>Monto ventas ($)</t>
  </si>
  <si>
    <t>Tasa</t>
  </si>
  <si>
    <t>Comision ($)</t>
  </si>
  <si>
    <t>Formula explicada</t>
  </si>
  <si>
    <t>No aplica (el efectivo no tiene comision de procesadora)</t>
  </si>
  <si>
    <t>SUBTOTAL COMISIONES</t>
  </si>
  <si>
    <t>4. COSTO FINANCIERO POR DEMORA EN ACREDITACION</t>
  </si>
  <si>
    <t xml:space="preserve">  Formula: Costo = Monto canal x TNA x Dias acreditacion / 365  (costo de oportunidad del capital inmovilizado)</t>
  </si>
  <si>
    <t>Monto ($)</t>
  </si>
  <si>
    <t>TNA</t>
  </si>
  <si>
    <t>Dias acred.</t>
  </si>
  <si>
    <t>Costo ($)</t>
  </si>
  <si>
    <t>SUBTOTAL COSTO FINANCIERO</t>
  </si>
  <si>
    <t>5. IMPUESTO AL CREDITO Y DEBITO BANCARIO - ICH  (Ley 25.413)</t>
  </si>
  <si>
    <t>Fuente normativa</t>
  </si>
  <si>
    <t>Ventas totales</t>
  </si>
  <si>
    <t>Base de calculo</t>
  </si>
  <si>
    <t>(-) Efectivo (no pasa por banco, 47.1%)</t>
  </si>
  <si>
    <t>El efectivo no genera debitos/creditos bancarios</t>
  </si>
  <si>
    <t>Base imponible ICH (monto bancarizado)</t>
  </si>
  <si>
    <t>V x (1 - %efectivo). Ley 25.413 Art. 1</t>
  </si>
  <si>
    <t>Alicuota ICH  (0.6% debitos + 0.6% creditos)</t>
  </si>
  <si>
    <t>Ley 25.413 Art. 1. Aplica sobre debitos Y creditos bancarios</t>
  </si>
  <si>
    <t>ICH TOTAL</t>
  </si>
  <si>
    <t>Solo sobre monto bancarizado. Ley 25.413</t>
  </si>
  <si>
    <t>6. RESUMEN TOTAL CARGA FINANCIERA MENSUAL</t>
  </si>
  <si>
    <t>Importe ($)</t>
  </si>
  <si>
    <t>Ver bloque</t>
  </si>
  <si>
    <t>Comisiones tarjetas y billeteras</t>
  </si>
  <si>
    <t>Bloque 3, fila 29</t>
  </si>
  <si>
    <t>Costo financiero demora acreditacion</t>
  </si>
  <si>
    <t>Bloque 4, fila 37</t>
  </si>
  <si>
    <t>ICH (Imp. Debitos y Creditos Bancarios)</t>
  </si>
  <si>
    <t>Bloque 5, fila 45</t>
  </si>
  <si>
    <t>TOTAL CARGA FINANCIERA</t>
  </si>
  <si>
    <t xml:space="preserve">  NOTA: IIBB (3% s/V neto IVA) y Merma (5% s/V) son costos variables adicionales - ver Estructura Costos.</t>
  </si>
  <si>
    <t xml:space="preserve">  Los parametros de tasa (Bloque 2) pueden modificarse para simular distintos contratos con procesadoras.</t>
  </si>
  <si>
    <t>SIMULADOR DE COSTOS - ROTISERIA NINO</t>
  </si>
  <si>
    <t>Modifique parametros (amarillo) y active/desactive costos (Incluir: SI/NO). El resultado se recalcula en tiempo real.</t>
  </si>
  <si>
    <t>RESULTADO EN VIVO  (se actualiza al modificar cualquier celda amarilla)</t>
  </si>
  <si>
    <t>RESULTADO NETO SIMULADO</t>
  </si>
  <si>
    <t>Ver detalle en filas 56-67</t>
  </si>
  <si>
    <t>PARAMETROS  (celdas amarillas = editables, modificar para simular)</t>
  </si>
  <si>
    <t>Parametro</t>
  </si>
  <si>
    <t>Valor</t>
  </si>
  <si>
    <t xml:space="preserve">  Cambie cualquier valor amarillo. Todo se recalcula automaticamente abajo.</t>
  </si>
  <si>
    <t>Ventas mensuales ($)</t>
  </si>
  <si>
    <t>Facturacion mensual desestacionalizada del POS</t>
  </si>
  <si>
    <t>Margen bruto (%)</t>
  </si>
  <si>
    <t>POS rentabilidad_factor. 0.30 = 30%</t>
  </si>
  <si>
    <t>Cantidad de empleados</t>
  </si>
  <si>
    <t>Empleados asignados a rotiseria</t>
  </si>
  <si>
    <t>Sueldo remunerativo c/u ($)</t>
  </si>
  <si>
    <t>CCT 130/75 Aux.Esp.A - base contribuciones F.930</t>
  </si>
  <si>
    <t>Sueldo no remunerativo c/u ($)</t>
  </si>
  <si>
    <t>Acuerdo paritario - no genera cargas patronales</t>
  </si>
  <si>
    <t>Contribuciones patronales (%)</t>
  </si>
  <si>
    <t>29.74% NO MiPyME. Si MiPyME: cambiar a ~0.26</t>
  </si>
  <si>
    <t>Gas consumo (m3/mes)</t>
  </si>
  <si>
    <t>Horno convector + cocina. Ecogas Cuyana</t>
  </si>
  <si>
    <t>Electricidad consumo (kWh/mes)</t>
  </si>
  <si>
    <t>Vitrina + heladera + campana + iluminacion</t>
  </si>
  <si>
    <t>Tasa comision credito (%)</t>
  </si>
  <si>
    <t>Procesadora tarjetas credito. Promedio mercado</t>
  </si>
  <si>
    <t>Tasa comision debito (%)</t>
  </si>
  <si>
    <t>Procesadora tarjetas debito</t>
  </si>
  <si>
    <t>Tasa comision billetera (%)</t>
  </si>
  <si>
    <t>Mercado Pago y otras</t>
  </si>
  <si>
    <t>TNA costo financiero (%)</t>
  </si>
  <si>
    <t>Tasa Nominal Anual credito comercial Mar 2026</t>
  </si>
  <si>
    <t>IIBB Mendoza (%)</t>
  </si>
  <si>
    <t>Ley 9680/2026 Rubro 7 Comercio minorista. Base: V/1.21</t>
  </si>
  <si>
    <t>ICH Imp. Deb/Cred (%)</t>
  </si>
  <si>
    <t>Ley 25.413. 0.6% debitos + 0.6% creditos</t>
  </si>
  <si>
    <t>Merma / descarte (%)</t>
  </si>
  <si>
    <t>Tipico rotiseria 3-8%. AJUSTAR con medicion real</t>
  </si>
  <si>
    <t>COSTOS FIJOS  (columna Incluir: SI/NO para activar o desactivar cada costo)</t>
  </si>
  <si>
    <t>Incluir?</t>
  </si>
  <si>
    <t>Incluido ($)</t>
  </si>
  <si>
    <t>% s/V</t>
  </si>
  <si>
    <t>Formula / Nota</t>
  </si>
  <si>
    <t>Sueldos brutos</t>
  </si>
  <si>
    <t>SI</t>
  </si>
  <si>
    <t>(Rem + NR) x Empleados</t>
  </si>
  <si>
    <t>Rem x Empl x CP% (solo s/remunerativo)</t>
  </si>
  <si>
    <t>(rem+pres+CP_rem+CP_pres)/12. LCT Art.121</t>
  </si>
  <si>
    <t>Presentismo (8.33% Art.40 CCT 130/75)</t>
  </si>
  <si>
    <t>SB_REM/12 x NE x (1+CP%). Remunerativo</t>
  </si>
  <si>
    <t>Vacaciones (14 dias Art.150 LCT)</t>
  </si>
  <si>
    <t>SB_REM/25 x 14d/12m x NE x (1+CP%)</t>
  </si>
  <si>
    <t>Dto. 1567/74. Editable</t>
  </si>
  <si>
    <t>Gas natural</t>
  </si>
  <si>
    <t>(CF+m3x$/m3)x1.315. ENARGAS</t>
  </si>
  <si>
    <t>Electricidad</t>
  </si>
  <si>
    <t>(CF/2+kWhx$/kWh)x1.39. EPRE</t>
  </si>
  <si>
    <t>Descartables / packaging</t>
  </si>
  <si>
    <t>Bandejas, bolsas, film. Editable</t>
  </si>
  <si>
    <t>Mantenimiento equipos</t>
  </si>
  <si>
    <t>Service horno, heladeras. Editable</t>
  </si>
  <si>
    <t>Seguros (incendio, RC)</t>
  </si>
  <si>
    <t>Prorrateo por m2. Editable</t>
  </si>
  <si>
    <t>Indumentaria / EPP</t>
  </si>
  <si>
    <t>Delantales, gorros, guantes. Editable</t>
  </si>
  <si>
    <t>Agua (prorrateo)</t>
  </si>
  <si>
    <t>Limpieza y coccion. Editable</t>
  </si>
  <si>
    <t>Habilitacion bromatologica</t>
  </si>
  <si>
    <t>Anual / 12. Editable</t>
  </si>
  <si>
    <t>Habilitacion municipal</t>
  </si>
  <si>
    <t>Tasa comercio Lujan / 12. Editable</t>
  </si>
  <si>
    <t>Suma solo items con SI</t>
  </si>
  <si>
    <t>COSTOS VARIABLES  (columna Incluir: SI/NO para activar o desactivar)</t>
  </si>
  <si>
    <t>Comision credito (mix 9.6%)</t>
  </si>
  <si>
    <t>V x 0.0964(mix POS) x tasa credito</t>
  </si>
  <si>
    <t>Comision debito (mix 32.7%)</t>
  </si>
  <si>
    <t>V x 0.3271(mix POS) x tasa debito</t>
  </si>
  <si>
    <t>Comision billetera (mix 10.6%)</t>
  </si>
  <si>
    <t>V x 0.1058(mix POS) x tasa billetera</t>
  </si>
  <si>
    <t>IIBB Mendoza (s/V neto IVA)</t>
  </si>
  <si>
    <t>V/1.21 x IIBB%. Art.169 CF Mza excluye IVA</t>
  </si>
  <si>
    <t>ICH (53% bancarizado)</t>
  </si>
  <si>
    <t>V x 0.5293(1-efectivo) x ICH%. Ley 25.413</t>
  </si>
  <si>
    <t>Merma / descarte</t>
  </si>
  <si>
    <t>V x Merma%. Tipico rotiseria 3-8%</t>
  </si>
  <si>
    <t>Costo financiero (demora acreditacion)</t>
  </si>
  <si>
    <t>V x TNA x (0.096x18d+0.327x3d+0.106x2d)/365</t>
  </si>
  <si>
    <t>ESTADO DE RESULTADOS SIMULADO</t>
  </si>
  <si>
    <t>Ventas</t>
  </si>
  <si>
    <t>Parametro fila 10</t>
  </si>
  <si>
    <t>(-) Costo Mercaderia Vendida</t>
  </si>
  <si>
    <t>V x (1 - Margen%)</t>
  </si>
  <si>
    <t>(-) Costos Fijos incluidos</t>
  </si>
  <si>
    <t>Solo items con SI arriba</t>
  </si>
  <si>
    <t>(-) Costos Variables incluidos</t>
  </si>
  <si>
    <t>MB - CF incluidos - CV incluidos</t>
  </si>
  <si>
    <t>Punto de equilibrio</t>
  </si>
  <si>
    <t>PE = CF / (MG% - CV%/V). Si CV% &gt;= MG% no hay PE</t>
  </si>
  <si>
    <t>Ventas actuales</t>
  </si>
  <si>
    <t>V / PE. Mayor a 100% = cubre CF</t>
  </si>
  <si>
    <t xml:space="preserve">  INSTRUCCIONES:</t>
  </si>
  <si>
    <t xml:space="preserve">  1. Modifique parametros amarillos (filas 10-24) para simular: cambio de sueldo, menos empleados, MiPyME, etc.</t>
  </si>
  <si>
    <t xml:space="preserve">  2. Ponga NO en columna 'Incluir?' para excluir un costo del calculo (ej: quitar vacaciones, quitar merma).</t>
  </si>
  <si>
    <t xml:space="preserve">  3. Los montos amarillos en col C (ej: Descartables $80,000) son editables: cambie el valor directo.</t>
  </si>
  <si>
    <t xml:space="preserve">  Mix medios de pago (fijo del POS): Efectivo 47.1% | Debito 32.7% | Credito 9.6% | Billetera 10.6%</t>
  </si>
  <si>
    <t>MEMORIA DE CALCULO - DEMOSTRACION DE FORMULAS Y FUENTES NORMATIVAS</t>
  </si>
  <si>
    <t>Cada linea muestra: concepto, formula con valores, resultado, y fuente normativa/regulatoria</t>
  </si>
  <si>
    <t>1. VENTAS MENSUALES DESESTACIONALIZADAS</t>
  </si>
  <si>
    <t>Formula / Desarrollo</t>
  </si>
  <si>
    <t>Resultado ($)</t>
  </si>
  <si>
    <t>Ventas brutas ventana</t>
  </si>
  <si>
    <t>Suma importe POS ROTISERIA 16/02/2026-18/03/2026 (31 dias)</t>
  </si>
  <si>
    <t>4 Excel POS (ReporteMovimientosItemEnComprobantes 1/2/22/3)</t>
  </si>
  <si>
    <t>Venta diaria promedio</t>
  </si>
  <si>
    <t>$11,369,307 / 31 dias = $366,752/dia</t>
  </si>
  <si>
    <t>Calculo propio</t>
  </si>
  <si>
    <t xml:space="preserve">  Indice estacional Ene 2025</t>
  </si>
  <si>
    <t>Vta diaria Ene/Promedio diario anual = 0.8102</t>
  </si>
  <si>
    <t>Parquet historico Oct 2024-Dic 2025 (meses completos)</t>
  </si>
  <si>
    <t xml:space="preserve">  Indice estacional Feb 2025</t>
  </si>
  <si>
    <t>Vta diaria Feb/Promedio diario anual = 0.9896</t>
  </si>
  <si>
    <t xml:space="preserve">  Indice estacional Mar 2025</t>
  </si>
  <si>
    <t>Vta diaria Mar/Promedio diario anual = 1.0239</t>
  </si>
  <si>
    <t xml:space="preserve">  Indice estacional Abr 2025</t>
  </si>
  <si>
    <t>Vta diaria Abr/Promedio diario anual = 0.9363</t>
  </si>
  <si>
    <t xml:space="preserve">  Indice estacional May 2025</t>
  </si>
  <si>
    <t>Vta diaria May/Promedio diario anual = 0.9567</t>
  </si>
  <si>
    <t xml:space="preserve">  Indice estacional Jun 2025</t>
  </si>
  <si>
    <t>Vta diaria Jun/Promedio diario anual = 0.9123</t>
  </si>
  <si>
    <t xml:space="preserve">  Indice estacional Jul 2025</t>
  </si>
  <si>
    <t>Vta diaria Jul/Promedio diario anual = 0.9140</t>
  </si>
  <si>
    <t xml:space="preserve">  Indice estacional Ago 2025</t>
  </si>
  <si>
    <t>Vta diaria Ago/Promedio diario anual = 0.9749</t>
  </si>
  <si>
    <t xml:space="preserve">  Indice estacional Sep 2025</t>
  </si>
  <si>
    <t>Vta diaria Sep/Promedio diario anual = 0.8787</t>
  </si>
  <si>
    <t xml:space="preserve">  Indice estacional Dic 2025</t>
  </si>
  <si>
    <t>Vta diaria Dic/Promedio diario anual = 1.6034</t>
  </si>
  <si>
    <t>Indice ponderado ventana</t>
  </si>
  <si>
    <t>Promedio ponderado por dias reales en ventana = 1.0095</t>
  </si>
  <si>
    <t>Ponderacion: dias Feb × idx Feb + dias Mar × idx Mar</t>
  </si>
  <si>
    <t>VENTAS MENSUALES</t>
  </si>
  <si>
    <t>($11,369,307 / 31) × 30.4167 / 1.0095</t>
  </si>
  <si>
    <t>30.4167 = dias promedio por mes (365.25/12)</t>
  </si>
  <si>
    <t xml:space="preserve">  V = $11,050,346 incluye IVA (97% Factura B). Los precios POS son de gondola, incluyen IVA. Art. 7 Ley 24.240 Defensa del Consumidor.</t>
  </si>
  <si>
    <t>2. COSTO DE MERCADERIA VENDIDA</t>
  </si>
  <si>
    <t>Margen bruto del sistema</t>
  </si>
  <si>
    <t>rentabilidad_factor del POS = 0.30 para ROTISERIA → CMV = V × (1 - 0.30)</t>
  </si>
  <si>
    <t>Parametro POS supermercado NINO</t>
  </si>
  <si>
    <t>CMV</t>
  </si>
  <si>
    <t>$11,050,346 × 0.70 = $7,735,242</t>
  </si>
  <si>
    <t>rentabilidad_factor = 0.30 para todos los productos ROTISERIA</t>
  </si>
  <si>
    <t>$11,050,346 - $7,735,242 = $3,315,104</t>
  </si>
  <si>
    <t>V × MG (V × 0.30)</t>
  </si>
  <si>
    <t>3. COSTOS LABORALES - DEMOSTRACION COMPLETA</t>
  </si>
  <si>
    <t>Basico remunerativo (c/u)</t>
  </si>
  <si>
    <t>Escala salarial CCT 130/75, Categoria Auxiliar Especializado A</t>
  </si>
  <si>
    <t>CCT 130/75 Empleados de Comercio. Escala FAECYS Dic 2025 - Mar 2026</t>
  </si>
  <si>
    <t>No Remunerativo (c/u)</t>
  </si>
  <si>
    <t>Suma fija pactada en acuerdo paritario</t>
  </si>
  <si>
    <t>Acuerdo paritario FAECYS-CAC Dic 2025</t>
  </si>
  <si>
    <t>Sueldo bruto por empleado</t>
  </si>
  <si>
    <t>$1,080,274 + $100,000 = $1,180,274</t>
  </si>
  <si>
    <t>Rem + NR. El NR no genera contribuciones patronales</t>
  </si>
  <si>
    <t>SUELDOS BRUTOS (3 empl.)</t>
  </si>
  <si>
    <t>$1,180,274 × 3 = $3,540,822</t>
  </si>
  <si>
    <t>Base F.930 (solo rem): $1,080,274 × 3 = $3,240,822</t>
  </si>
  <si>
    <t xml:space="preserve">  CONTRIBUCIONES PATRONALES - Desglose F.930 (solo sobre remunerativo)</t>
  </si>
  <si>
    <t xml:space="preserve">  Jubilacion (SIPA)</t>
  </si>
  <si>
    <t>$3,240,822 × 12.71% = $411,908</t>
  </si>
  <si>
    <t>Ley 24.241 Art. 11. Alicuota Dto. 814/2001 Sector Servicios</t>
  </si>
  <si>
    <t xml:space="preserve">  PAMI (INSSJP)</t>
  </si>
  <si>
    <t>$3,240,822 × 1.58% = $51,205</t>
  </si>
  <si>
    <t>Ley 19.032 Art. 8. Alicuota Dto. 814/2001</t>
  </si>
  <si>
    <t xml:space="preserve">  Asignaciones Familiares</t>
  </si>
  <si>
    <t>$3,240,822 × 5.56% = $180,190</t>
  </si>
  <si>
    <t>Ley 24.714 Art. 5. Alicuota Dto. 814/2001 Sector Servicios</t>
  </si>
  <si>
    <t xml:space="preserve">  Fondo Nacional de Empleo</t>
  </si>
  <si>
    <t>$3,240,822 × 0.89% = $28,843</t>
  </si>
  <si>
    <t>Ley 24.013 Art. 145. Alicuota unica</t>
  </si>
  <si>
    <t xml:space="preserve">  Obra Social patronal</t>
  </si>
  <si>
    <t>$3,240,822 × 6.00% = $194,449</t>
  </si>
  <si>
    <t>Ley 23.660 Art. 16 inc. a). 6% empleador</t>
  </si>
  <si>
    <t xml:space="preserve">  ART (estimado)</t>
  </si>
  <si>
    <t>$3,240,822 × 3.00% = $97,225</t>
  </si>
  <si>
    <t>Ley 24.557. Alicuota variable segun ART y siniestralidad. 3% estimado</t>
  </si>
  <si>
    <t>TOTAL CONTRIBUCIONES</t>
  </si>
  <si>
    <t>$3,240,822 × 29.74% = $963,820</t>
  </si>
  <si>
    <t>Suma alicuotas: 12.71+1.58+5.56+0.89+6.00+3.00 = 29.74%</t>
  </si>
  <si>
    <t xml:space="preserve">  Empresa NO MiPyME. Si obtiene certificado MiPyME (Ley 27.264), SIPA baja de 12.71% a ~10.17% (Dto. 128/2019)</t>
  </si>
  <si>
    <t>PRESENTISMO - basico bruto</t>
  </si>
  <si>
    <t>8.33% × $1,080,274 = $89,987 × 3 empleados</t>
  </si>
  <si>
    <t>Art. 40 CCT 130/75: 8.33% del sueldo basico. Es REMUNERATIVO, genera CP</t>
  </si>
  <si>
    <t>PRESENTISMO - contribuciones</t>
  </si>
  <si>
    <t>$270,069 × 29.74% = $80,319</t>
  </si>
  <si>
    <t>Genera contribuciones patronales por ser remunerativo (Dto. 1.117/93)</t>
  </si>
  <si>
    <t>PRESENTISMO TOTAL</t>
  </si>
  <si>
    <t>$270,069 + $80,319 = $350,388</t>
  </si>
  <si>
    <t>Art. 40 CCT 130/75 Empleados de Comercio</t>
  </si>
  <si>
    <t>SAC - base de calculo</t>
  </si>
  <si>
    <t>Remunerativo + Presentismo = $3,240,822 + $270,069 = $3,510,891</t>
  </si>
  <si>
    <t>LCT Art. 121-122. SAC = 50% mejor mes / 6m = 1/12 mensualizado</t>
  </si>
  <si>
    <t>SAC - provision mensual</t>
  </si>
  <si>
    <t>(Base $3,510,891 + CP $1,044,139) / 12 = $379,586</t>
  </si>
  <si>
    <t>Incluye CP sobre SAC. Formula: (rem+present+CP_rem+CP_present)/12</t>
  </si>
  <si>
    <t>~$500 × 3 empleados = $1,500</t>
  </si>
  <si>
    <t>Decreto 1.567/74. Seguro colectivo de vida obligatorio</t>
  </si>
  <si>
    <t>VACACIONES - salario diario</t>
  </si>
  <si>
    <t>$1,080,274 / 25 = $43,211/dia</t>
  </si>
  <si>
    <t>LCT Art. 155: divisor 25 para calculo de vacaciones</t>
  </si>
  <si>
    <t>VACACIONES - dias por anio</t>
  </si>
  <si>
    <t>14 dias corridos (antiguedad &lt; 5 anios)</t>
  </si>
  <si>
    <t>LCT Art. 150 inc. a): hasta 5 anios = 14 dias corridos</t>
  </si>
  <si>
    <t>VACACIONES - provision mensual</t>
  </si>
  <si>
    <t>$43,211/dia × 14 dias / 12 meses × 3 empl = $151,239</t>
  </si>
  <si>
    <t>Provision mensual = costo anual / 12</t>
  </si>
  <si>
    <t>VACACIONES - contribuciones</t>
  </si>
  <si>
    <t>$151,239 × 29.74% = $44,978</t>
  </si>
  <si>
    <t>Vacaciones son remunerativas, generan contribuciones</t>
  </si>
  <si>
    <t>VACACIONES TOTAL</t>
  </si>
  <si>
    <t>$151,239 + $44,978 = $196,217</t>
  </si>
  <si>
    <t>LCT Art. 150/155. Provision mensual + contribuciones patronales</t>
  </si>
  <si>
    <t>TOTAL LABORAL</t>
  </si>
  <si>
    <t>Sueldos $3,540,822 + CP $963,820 + SAC $379,586 + Seg $1,500 + Present $350,388 + Vac $196,217</t>
  </si>
  <si>
    <t>4. SERVICIOS - TARIFAS OFICIALES</t>
  </si>
  <si>
    <t>GAS - Cargo fijo</t>
  </si>
  <si>
    <t>$24,129/mes (sin impuestos)</t>
  </si>
  <si>
    <t>ENARGAS Res 89/2026 - Ecogas Cuyana SGP, Cat P1-P2 Mendoza</t>
  </si>
  <si>
    <t>GAS - Cargo variable</t>
  </si>
  <si>
    <t>250 m3 × $307.77/m3 = $76,942</t>
  </si>
  <si>
    <t>Franja 0-1000 m3. Ecogas Cuyana SGP Mendoza</t>
  </si>
  <si>
    <t>GAS - Subtotal sin impuestos</t>
  </si>
  <si>
    <t>$24,129 + $76,942 = $101,072</t>
  </si>
  <si>
    <t>GAS - Factor tributos</t>
  </si>
  <si>
    <t>× 1.315 (IVA 21% + Fdo Fiduc 6.8% + IIBB distrib 3% + tasa muni ~5%)</t>
  </si>
  <si>
    <t>IVA: Ley 23.349. Fdo Fiduciario: Res MEC 1253/2025. IIBB: Ley 9680 Mza</t>
  </si>
  <si>
    <t>GAS TOTAL</t>
  </si>
  <si>
    <t>$101,072 × 1.315 = $132,909</t>
  </si>
  <si>
    <t>ENARGAS Res 89/2026. Consumo estimado: horno 8 band 4.3h/d + cocina 2h/d</t>
  </si>
  <si>
    <t>ELEC - Cargo fijo</t>
  </si>
  <si>
    <t>$16,114/bimestre = $8,057/mes (sin impuestos)</t>
  </si>
  <si>
    <t>EPRE Res 025/2026 - EDEMSA Tarifa T1-G, Marzo 2026</t>
  </si>
  <si>
    <t>ELEC - Cargo variable</t>
  </si>
  <si>
    <t>500 kWh × $233.58/kWh = $116,790</t>
  </si>
  <si>
    <t>EDEMSA T1-G (Gran demanda comercial)</t>
  </si>
  <si>
    <t>ELEC - Factor tributos</t>
  </si>
  <si>
    <t>× 1.39 (IVA 21% + CCCE 7.5% + EPRE 1.5% + IIBB 3% + CAP ~3%)</t>
  </si>
  <si>
    <t>IVA: Ley 23.349. CCCE: Ley 6497 Mza. EPRE: canon regulatorio</t>
  </si>
  <si>
    <t>ELECTRICIDAD TOTAL</t>
  </si>
  <si>
    <t>($8,057 + $116,790) × 1.39 = $173,537</t>
  </si>
  <si>
    <t>EPRE Res 025/2026. Consumo: vitrina+heladera+campana+ilum</t>
  </si>
  <si>
    <t>TOTAL SERVICIOS</t>
  </si>
  <si>
    <t>Gas $132,909 + Elec $173,537 = $306,446</t>
  </si>
  <si>
    <t>5. COSTOS VARIABLES - FORMULAS</t>
  </si>
  <si>
    <t>COMISION CREDITO</t>
  </si>
  <si>
    <t>V × %credito × tasa = $11,050,346 × 9.6% × 3.0% = $31,967</t>
  </si>
  <si>
    <t>Tasa promedio mercado procesadoras. Mix: parquet Oct 2025-Mar 2026</t>
  </si>
  <si>
    <t>COMISION DEBITO</t>
  </si>
  <si>
    <t>V × %debito × tasa = $11,050,346 × 32.7% × 1.2% = $43,378</t>
  </si>
  <si>
    <t>Tasa promedio mercado procesadoras</t>
  </si>
  <si>
    <t>COMISION BILLETERA</t>
  </si>
  <si>
    <t>V × %billetera × tasa = $11,050,346 × 10.6% × 1.5% = $17,535</t>
  </si>
  <si>
    <t>Mercado Pago y otras billeteras digitales</t>
  </si>
  <si>
    <t>Total comisiones</t>
  </si>
  <si>
    <t>$31,967 + $43,378 + $17,535 = $92,880</t>
  </si>
  <si>
    <t>IIBB - Base imponible</t>
  </si>
  <si>
    <t>V sin IVA = $11,050,346 / 1.21 = $9,132,517</t>
  </si>
  <si>
    <t>Art. 169 Codigo Fiscal Mendoza: excluye IVA Debito Fiscal de la base</t>
  </si>
  <si>
    <t>IIBB Mendoza</t>
  </si>
  <si>
    <t>$9,132,517 × 3% = $273,976</t>
  </si>
  <si>
    <t>Ley 9680/2026 (Ley Impositiva Mendoza), Rubro 7 Comercio Minorista</t>
  </si>
  <si>
    <t>ICH - Monto bancarizado</t>
  </si>
  <si>
    <t>V × (1 - %efectivo) = $11,050,346 × 53% = $5,849,414</t>
  </si>
  <si>
    <t>Efectivo no pasa por banco, no genera debitos/creditos bancarios</t>
  </si>
  <si>
    <t>Imp. Debitos y Creditos</t>
  </si>
  <si>
    <t>$5,849,414 × 1.2% = $70,193</t>
  </si>
  <si>
    <t>Ley 25.413 Art. 1. 0.6% debitos + 0.6% creditos</t>
  </si>
  <si>
    <t>Merma/descarte</t>
  </si>
  <si>
    <t>V × 5% = $11,050,346 × 5% = $552,517</t>
  </si>
  <si>
    <t>Estimado. Tipico rotiseria 3-8%. AJUSTAR con medicion real</t>
  </si>
  <si>
    <t>COSTO FINANCIERO - Credito</t>
  </si>
  <si>
    <t>$1,065,554 × 40% × 18/365 = $21,019</t>
  </si>
  <si>
    <t>TNA 40%: tasa comercial promedio Mar 2026. Acreditacion 18 dias habiles</t>
  </si>
  <si>
    <t>COSTO FINANCIERO - Debito</t>
  </si>
  <si>
    <t>$3,614,869 × 40% × 3/365 = $11,885</t>
  </si>
  <si>
    <t>Acreditacion debito: 3 dias habiles</t>
  </si>
  <si>
    <t>COSTO FINANCIERO - Billetera</t>
  </si>
  <si>
    <t>$1,168,990 × 40% × 2/365 = $2,562</t>
  </si>
  <si>
    <t>Acreditacion billetera: 2 dias habiles</t>
  </si>
  <si>
    <t>Total costo financiero</t>
  </si>
  <si>
    <t>Suma = $35,466</t>
  </si>
  <si>
    <t>Costo de oportunidad por demora en cobro de ventas con tarjeta/billetera</t>
  </si>
  <si>
    <t>Comisiones $92,880 + IIBB $273,976 + ICH $70,193 + Merma $552,517 + Financiero $35,466</t>
  </si>
  <si>
    <t>6. RESULTADO Y PUNTO DE EQUILIBRIO</t>
  </si>
  <si>
    <t>Facturacion bruta con IVA (Factura B)</t>
  </si>
  <si>
    <t>V × 70% = $11,050,346 × 0.70</t>
  </si>
  <si>
    <t>V × 30% = $11,050,346 × 0.30</t>
  </si>
  <si>
    <t>Laboral $5,432,333 + Servicios $306,446 + Otros $185,000</t>
  </si>
  <si>
    <t>Comis $92,880 + IIBB $273,976 + ICH $70,193 + Merma $552,517 + Fin $35,466</t>
  </si>
  <si>
    <t>RESULTADO</t>
  </si>
  <si>
    <t>$3,315,104 - $5,923,779 - $1,025,032 = $-3,633,707</t>
  </si>
  <si>
    <t>-32.9% sobre ventas</t>
  </si>
  <si>
    <t>Punto de Equilibrio - formula</t>
  </si>
  <si>
    <t>PE = Costos Fijos / (Margen Bruto % - Costos Variables %)</t>
  </si>
  <si>
    <t>Formula estandar de PE en unidades monetarias</t>
  </si>
  <si>
    <t xml:space="preserve">  % Costos Variables</t>
  </si>
  <si>
    <t>CV / V = $1,025,032 / $11,050,346 = 9.28%</t>
  </si>
  <si>
    <t xml:space="preserve">  Denominador</t>
  </si>
  <si>
    <t>MB% - CV% = 30% - 9.28% = 20.72%</t>
  </si>
  <si>
    <t>Margen de contribucion porcentual</t>
  </si>
  <si>
    <t>PUNTO DE EQUILIBRIO</t>
  </si>
  <si>
    <t>$5,923,779 / 20.72% = $28,584,173/mes</t>
  </si>
  <si>
    <t>Cobertura actual: $11,050,346 / $28,584,173 = 39%</t>
  </si>
  <si>
    <t>7. INDICE DE FUENTES NORMATIVAS</t>
  </si>
  <si>
    <t>CCT 130/75</t>
  </si>
  <si>
    <t>Convenio Colectivo de Trabajo 130/75</t>
  </si>
  <si>
    <t>Empleados de Comercio. Regula categorias, sueldos, presentismo (Art. 40), jornada</t>
  </si>
  <si>
    <t>Ley 20.744 (LCT)</t>
  </si>
  <si>
    <t>Ley de Contrato de Trabajo</t>
  </si>
  <si>
    <t>SAC (Art. 121-122), Vacaciones (Art. 150, 155), Indemnizaciones (Art. 245)</t>
  </si>
  <si>
    <t>Ley 24.241</t>
  </si>
  <si>
    <t>Sistema Integrado Previsional Argentino (SIPA)</t>
  </si>
  <si>
    <t>Contribucion jubilatoria patronal</t>
  </si>
  <si>
    <t>Ley 19.032</t>
  </si>
  <si>
    <t>INSSJP / PAMI</t>
  </si>
  <si>
    <t>Contribucion PAMI patronal (Art. 8)</t>
  </si>
  <si>
    <t>Ley 24.714</t>
  </si>
  <si>
    <t>Regimen de Asignaciones Familiares</t>
  </si>
  <si>
    <t>Contribucion patronal asignaciones (Art. 5)</t>
  </si>
  <si>
    <t>Ley 24.013</t>
  </si>
  <si>
    <t>Ley Nacional de Empleo</t>
  </si>
  <si>
    <t>Fondo Nacional de Empleo (Art. 145)</t>
  </si>
  <si>
    <t>Ley 23.660</t>
  </si>
  <si>
    <t>Obras Sociales</t>
  </si>
  <si>
    <t>Contribucion patronal 6% (Art. 16 inc. a)</t>
  </si>
  <si>
    <t>Ley 24.557</t>
  </si>
  <si>
    <t>Riesgos del Trabajo (ART)</t>
  </si>
  <si>
    <t>Alicuota variable segun ART y actividad</t>
  </si>
  <si>
    <t>Dto. 814/2001</t>
  </si>
  <si>
    <t>Contribuciones patronales unificadas</t>
  </si>
  <si>
    <t>Alicuotas diferenciadas Sector A (servicios) y B (industria)</t>
  </si>
  <si>
    <t>Ley 27.264</t>
  </si>
  <si>
    <t>MiPyME</t>
  </si>
  <si>
    <t>Reduccion SIPA de 12.71% a ~10.17% con certificado</t>
  </si>
  <si>
    <t>Dto. 1.567/74</t>
  </si>
  <si>
    <t>Seguro Colectivo de Vida Obligatorio</t>
  </si>
  <si>
    <t>~$500/empleado/mes</t>
  </si>
  <si>
    <t>Dto. 1.117/93</t>
  </si>
  <si>
    <t>Presentismo remunerativo</t>
  </si>
  <si>
    <t>Confirma caracter remunerativo del presentismo</t>
  </si>
  <si>
    <t>FAECYS</t>
  </si>
  <si>
    <t>Escala salarial Empleados de Comercio</t>
  </si>
  <si>
    <t>Acuerdo paritario Dic 2025 - Mar 2026</t>
  </si>
  <si>
    <t>Ley 23.349</t>
  </si>
  <si>
    <t>Impuesto al Valor Agregado</t>
  </si>
  <si>
    <t>IVA 21% general, 10.5% alimentos basicos</t>
  </si>
  <si>
    <t>Ley 24.240</t>
  </si>
  <si>
    <t>Defensa del Consumidor</t>
  </si>
  <si>
    <t>Art. 7: precio exhibido es final (IVA incluido)</t>
  </si>
  <si>
    <t>Ley 25.413</t>
  </si>
  <si>
    <t>Impuesto Debitos y Creditos Bancarios</t>
  </si>
  <si>
    <t>0.6% debitos + 0.6% creditos (Art. 1)</t>
  </si>
  <si>
    <t>Ley 9680/2026</t>
  </si>
  <si>
    <t>Ley Impositiva Mendoza 2026</t>
  </si>
  <si>
    <t>IIBB Rubro 7 Comercio Minorista: 3%</t>
  </si>
  <si>
    <t>Cod. Fiscal Mendoza</t>
  </si>
  <si>
    <t>Codigo Fiscal de Mendoza</t>
  </si>
  <si>
    <t>Art. 169: base IIBB excluye IVA Debito Fiscal</t>
  </si>
  <si>
    <t>ENARGAS Res 89/2026</t>
  </si>
  <si>
    <t>Tarifa gas natural</t>
  </si>
  <si>
    <t>Ecogas Cuyana SGP, Cat P1-P2, Mendoza</t>
  </si>
  <si>
    <t>EPRE Res 025/2026</t>
  </si>
  <si>
    <t>Tarifa electrica</t>
  </si>
  <si>
    <t>EDEMSA T1-G (Gran demanda comercial), Marzo 2026</t>
  </si>
  <si>
    <t>Res MEC 1253/2025</t>
  </si>
  <si>
    <t>Fondo Fiduciario gas</t>
  </si>
  <si>
    <t>6.8% sobre facturacion gas (transicion energetica)</t>
  </si>
  <si>
    <t>Ley 6497 Mendoza</t>
  </si>
  <si>
    <t>CCCE electricidad</t>
  </si>
  <si>
    <t>Cargo CCCE 7.5% sobre facturacion electrica Mendoza</t>
  </si>
  <si>
    <t xml:space="preserve">  Todas las alicuotas verificadas a Marzo 2026. Sujetas a cambio por resoluciones posteriores.</t>
  </si>
  <si>
    <t xml:space="preserve">  Los precios de insumos provienen del sistema POS del supermercado NINO, Feb 2026.</t>
  </si>
  <si>
    <t xml:space="preserve">  Los factores de costo por categoria (0.55-0.80) surgen del campo rentabilidad_factor del POS.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</si>
</sst>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996600"/>
      <name val="Calibri"/>
    </font>
    <font>
      <b/>
      <sz val="12"/>
      <color rgb="FF1F4E79"/>
      <name val="Calibri"/>
    </font>
    <font>
      <b/>
      <sz val="10"/>
      <color rgb="FFFFFFFF"/>
      <name val="Calibri"/>
    </font>
    <font>
      <b/>
      <sz val="10"/>
      <name val="Calibri"/>
    </font>
    <font>
      <sz val="9"/>
      <color rgb="FF666666"/>
      <name val="Calibri"/>
    </font>
    <font>
      <sz val="10"/>
      <name val="Calibri"/>
    </font>
    <font>
      <b/>
      <sz val="10"/>
      <color rgb="FFCC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medium">
        <color rgb="FF4472C4"/>
      </bottom>
      <diagonal/>
    </border>
    <border>
      <left style="hair">
        <color rgb="FFD0D0D0"/>
      </left>
      <right style="hair">
        <color rgb="FFD0D0D0"/>
      </right>
      <top style="hair">
        <color rgb="FFD0D0D0"/>
      </top>
      <bottom style="hair">
        <color rgb="FFD0D0D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4" borderId="1" xfId="0" applyFont="1" applyFill="1" applyBorder="1" applyAlignment="1">
      <alignment horizontal="center" wrapText="1"/>
    </xf>
    <xf numFmtId="0" fontId="5" fillId="5" borderId="2" xfId="0" applyFont="1" applyFill="1" applyBorder="1"/>
    <xf numFmtId="3" fontId="5" fillId="5" borderId="2" xfId="0" applyNumberFormat="1" applyFont="1" applyFill="1" applyBorder="1" applyAlignment="1">
      <alignment horizontal="right"/>
    </xf>
    <xf numFmtId="0" fontId="2" fillId="0" borderId="2" xfId="0" applyFont="1" applyBorder="1"/>
    <xf numFmtId="0" fontId="6" fillId="0" borderId="2" xfId="0" applyFont="1" applyBorder="1"/>
    <xf numFmtId="3" fontId="6" fillId="0" borderId="2" xfId="0" applyNumberFormat="1" applyFont="1" applyBorder="1" applyAlignment="1">
      <alignment horizontal="right"/>
    </xf>
    <xf numFmtId="0" fontId="5" fillId="6" borderId="2" xfId="0" applyFont="1" applyFill="1" applyBorder="1"/>
    <xf numFmtId="3" fontId="5" fillId="6" borderId="2" xfId="0" applyNumberFormat="1" applyFont="1" applyFill="1" applyBorder="1" applyAlignment="1">
      <alignment horizontal="right"/>
    </xf>
    <xf numFmtId="0" fontId="5" fillId="7" borderId="2" xfId="0" applyFont="1" applyFill="1" applyBorder="1"/>
    <xf numFmtId="0" fontId="7" fillId="0" borderId="2" xfId="0" applyFont="1" applyBorder="1"/>
    <xf numFmtId="3" fontId="7" fillId="0" borderId="2" xfId="0" applyNumberFormat="1" applyFont="1" applyBorder="1" applyAlignment="1">
      <alignment horizontal="right"/>
    </xf>
    <xf numFmtId="0" fontId="5" fillId="8" borderId="2" xfId="0" applyFont="1" applyFill="1" applyBorder="1"/>
    <xf numFmtId="3" fontId="5" fillId="8" borderId="2" xfId="0" applyNumberFormat="1" applyFont="1" applyFill="1" applyBorder="1" applyAlignment="1">
      <alignment horizontal="right"/>
    </xf>
    <xf numFmtId="0" fontId="7" fillId="8" borderId="2" xfId="0" applyFont="1" applyFill="1" applyBorder="1"/>
    <xf numFmtId="3" fontId="7" fillId="8" borderId="2" xfId="0" applyNumberFormat="1" applyFont="1" applyFill="1" applyBorder="1" applyAlignment="1">
      <alignment horizontal="right"/>
    </xf>
    <xf numFmtId="0" fontId="5" fillId="0" borderId="2" xfId="0" applyFont="1" applyBorder="1"/>
    <xf numFmtId="3" fontId="5" fillId="0" borderId="2" xfId="0" applyNumberFormat="1" applyFont="1" applyBorder="1" applyAlignment="1">
      <alignment horizontal="right"/>
    </xf>
    <xf numFmtId="0" fontId="8" fillId="6" borderId="2" xfId="0" applyFont="1" applyFill="1" applyBorder="1"/>
    <xf numFmtId="3" fontId="8" fillId="6" borderId="2" xfId="0" applyNumberFormat="1" applyFont="1" applyFill="1" applyBorder="1" applyAlignment="1">
      <alignment horizontal="right"/>
    </xf>
    <xf numFmtId="9" fontId="5" fillId="6" borderId="2" xfId="0" applyNumberFormat="1" applyFont="1" applyFill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7" fillId="5" borderId="2" xfId="0" applyFont="1" applyFill="1" applyBorder="1"/>
    <xf numFmtId="3" fontId="7" fillId="5" borderId="2" xfId="0" applyNumberFormat="1" applyFont="1" applyFill="1" applyBorder="1" applyAlignment="1">
      <alignment horizontal="right"/>
    </xf>
    <xf numFmtId="0" fontId="7" fillId="5" borderId="2" xfId="0" applyFont="1" applyFill="1" applyBorder="1" applyAlignment="1">
      <alignment horizontal="right"/>
    </xf>
    <xf numFmtId="0" fontId="7" fillId="8" borderId="2" xfId="0" applyFont="1" applyFill="1" applyBorder="1" applyAlignment="1">
      <alignment horizontal="right"/>
    </xf>
    <xf numFmtId="0" fontId="5" fillId="3" borderId="2" xfId="0" applyFont="1" applyFill="1" applyBorder="1"/>
    <xf numFmtId="3" fontId="5" fillId="3" borderId="2" xfId="0" applyNumberFormat="1" applyFont="1" applyFill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3" fillId="0" borderId="0" xfId="0" applyFont="1"/>
    <xf numFmtId="0" fontId="7" fillId="6" borderId="2" xfId="0" applyFont="1" applyFill="1" applyBorder="1"/>
    <xf numFmtId="3" fontId="7" fillId="6" borderId="2" xfId="0" applyNumberFormat="1" applyFont="1" applyFill="1" applyBorder="1" applyAlignment="1">
      <alignment horizontal="right"/>
    </xf>
    <xf numFmtId="164" fontId="7" fillId="0" borderId="2" xfId="0" applyNumberFormat="1" applyFont="1" applyBorder="1" applyAlignment="1">
      <alignment horizontal="right"/>
    </xf>
    <xf numFmtId="164" fontId="5" fillId="5" borderId="2" xfId="0" applyNumberFormat="1" applyFont="1" applyFill="1" applyBorder="1" applyAlignment="1">
      <alignment horizontal="right"/>
    </xf>
    <xf numFmtId="10" fontId="6" fillId="0" borderId="2" xfId="0" applyNumberFormat="1" applyFont="1" applyBorder="1" applyAlignment="1">
      <alignment horizontal="right"/>
    </xf>
    <xf numFmtId="10" fontId="7" fillId="8" borderId="2" xfId="0" applyNumberFormat="1" applyFont="1" applyFill="1" applyBorder="1" applyAlignment="1">
      <alignment horizontal="right"/>
    </xf>
    <xf numFmtId="10" fontId="7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horizontal="right"/>
    </xf>
    <xf numFmtId="10" fontId="5" fillId="8" borderId="2" xfId="0" applyNumberFormat="1" applyFont="1" applyFill="1" applyBorder="1" applyAlignment="1">
      <alignment horizontal="right"/>
    </xf>
    <xf numFmtId="164" fontId="5" fillId="8" borderId="2" xfId="0" applyNumberFormat="1" applyFont="1" applyFill="1" applyBorder="1" applyAlignment="1">
      <alignment horizontal="right"/>
    </xf>
    <xf numFmtId="164" fontId="5" fillId="6" borderId="2" xfId="0" applyNumberFormat="1" applyFont="1" applyFill="1" applyBorder="1" applyAlignment="1">
      <alignment horizontal="right"/>
    </xf>
    <xf numFmtId="164" fontId="7" fillId="8" borderId="2" xfId="0" applyNumberFormat="1" applyFont="1" applyFill="1" applyBorder="1" applyAlignment="1">
      <alignment horizontal="right"/>
    </xf>
    <xf numFmtId="0" fontId="5" fillId="8" borderId="2" xfId="0" applyFont="1" applyFill="1" applyBorder="1" applyAlignment="1">
      <alignment horizontal="center"/>
    </xf>
    <xf numFmtId="9" fontId="5" fillId="0" borderId="2" xfId="0" applyNumberFormat="1" applyFont="1" applyBorder="1" applyAlignment="1">
      <alignment horizontal="right"/>
    </xf>
    <xf numFmtId="0" fontId="2" fillId="0" borderId="0" xfId="0" applyFont="1"/>
    <xf numFmtId="0" fontId="0" fillId="0" borderId="0" xfId="0"/>
    <xf numFmtId="0" fontId="3" fillId="3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6">
    <dxf>
      <font>
        <b/>
        <sz val="10"/>
        <color rgb="FF006600"/>
        <name val="Calibri"/>
      </font>
      <fill>
        <patternFill patternType="solid">
          <fgColor rgb="FFE2EFDA"/>
          <bgColor rgb="FFE2EFDA"/>
        </patternFill>
      </fill>
    </dxf>
    <dxf>
      <font>
        <b/>
        <sz val="10"/>
        <color rgb="FFCC0000"/>
        <name val="Calibri"/>
      </font>
      <fill>
        <patternFill patternType="solid">
          <fgColor rgb="FFFCE4EC"/>
          <bgColor rgb="FFFCE4EC"/>
        </patternFill>
      </fill>
    </dxf>
    <dxf>
      <font>
        <b/>
        <sz val="10"/>
        <color rgb="FF006600"/>
        <name val="Calibri"/>
      </font>
      <fill>
        <patternFill patternType="solid">
          <fgColor rgb="FFE2EFDA"/>
          <bgColor rgb="FFE2EFDA"/>
        </patternFill>
      </fill>
    </dxf>
    <dxf>
      <font>
        <b/>
        <sz val="10"/>
        <color rgb="FFCC0000"/>
        <name val="Calibri"/>
      </font>
      <fill>
        <patternFill patternType="solid">
          <fgColor rgb="FFFCE4EC"/>
          <bgColor rgb="FFFCE4EC"/>
        </patternFill>
      </fill>
    </dxf>
    <dxf>
      <font>
        <b/>
        <sz val="10"/>
        <color rgb="FF006600"/>
        <name val="Calibri"/>
      </font>
      <fill>
        <patternFill patternType="solid">
          <fgColor rgb="FFE2EFDA"/>
          <bgColor rgb="FFE2EFDA"/>
        </patternFill>
      </fill>
    </dxf>
    <dxf>
      <font>
        <b/>
        <sz val="10"/>
        <color rgb="FFCC0000"/>
        <name val="Calibri"/>
      </font>
      <fill>
        <patternFill patternType="solid">
          <fgColor rgb="FFFCE4EC"/>
          <bgColor rgb="FFFCE4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A1:E124"/>
  <sheetViews>
    <sheetView showGridLines="0" tabSelected="1" workbookViewId="0">
      <pane ySplit="2" topLeftCell="A3" activePane="bottomLeft" state="frozen"/>
      <selection pane="bottomLeft" activeCell="A31" sqref="A31"/>
    </sheetView>
  </sheetViews>
  <sheetFormatPr baseColWidth="10" defaultColWidth="9.140625" defaultRowHeight="15" x14ac:dyDescent="0.25"/>
  <cols>
    <col min="1" max="1" width="48" customWidth="1"/>
    <col min="2" max="2" width="20" customWidth="1"/>
    <col min="3" max="4" width="14" customWidth="1"/>
    <col min="5" max="5" width="42" customWidth="1"/>
  </cols>
  <sheetData>
    <row r="1" spans="1:5" ht="18.75" x14ac:dyDescent="0.3">
      <c r="A1" s="48" t="s">
        <v>0</v>
      </c>
      <c r="B1" s="46"/>
      <c r="C1" s="46"/>
      <c r="D1" s="46"/>
      <c r="E1" s="46"/>
    </row>
    <row r="2" spans="1:5" x14ac:dyDescent="0.25">
      <c r="A2" s="45" t="s">
        <v>1</v>
      </c>
      <c r="B2" s="46"/>
      <c r="C2" s="46"/>
      <c r="D2" s="46"/>
      <c r="E2" s="46"/>
    </row>
    <row r="4" spans="1:5" ht="15.75" x14ac:dyDescent="0.25">
      <c r="A4" s="47" t="s">
        <v>2</v>
      </c>
      <c r="B4" s="46"/>
      <c r="C4" s="46"/>
      <c r="D4" s="46"/>
      <c r="E4" s="46"/>
    </row>
    <row r="5" spans="1:5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x14ac:dyDescent="0.25">
      <c r="A6" s="2" t="s">
        <v>8</v>
      </c>
      <c r="B6" s="3">
        <v>11050346</v>
      </c>
      <c r="C6" s="2" t="s">
        <v>9</v>
      </c>
      <c r="D6" s="2"/>
      <c r="E6" s="2" t="s">
        <v>10</v>
      </c>
    </row>
    <row r="7" spans="1:5" x14ac:dyDescent="0.25">
      <c r="A7" s="4" t="s">
        <v>11</v>
      </c>
      <c r="B7" s="4"/>
      <c r="C7" s="4"/>
      <c r="D7" s="4"/>
      <c r="E7" s="4"/>
    </row>
    <row r="8" spans="1:5" x14ac:dyDescent="0.25">
      <c r="A8" s="5" t="s">
        <v>12</v>
      </c>
      <c r="B8" s="6">
        <f>ROUND(-B6*21/121,0)</f>
        <v>-1917829</v>
      </c>
      <c r="C8" s="5"/>
      <c r="D8" s="5"/>
      <c r="E8" s="5" t="s">
        <v>13</v>
      </c>
    </row>
    <row r="9" spans="1:5" x14ac:dyDescent="0.25">
      <c r="A9" s="5" t="s">
        <v>14</v>
      </c>
      <c r="B9" s="5"/>
      <c r="C9" s="5"/>
      <c r="D9" s="5"/>
      <c r="E9" s="5"/>
    </row>
    <row r="10" spans="1:5" x14ac:dyDescent="0.25">
      <c r="A10" s="5" t="s">
        <v>15</v>
      </c>
      <c r="B10" s="5"/>
      <c r="C10" s="5"/>
      <c r="D10" s="5"/>
      <c r="E10" s="5"/>
    </row>
    <row r="12" spans="1:5" ht="15.75" x14ac:dyDescent="0.25">
      <c r="A12" s="47" t="s">
        <v>16</v>
      </c>
      <c r="B12" s="46"/>
      <c r="C12" s="46"/>
      <c r="D12" s="46"/>
      <c r="E12" s="46"/>
    </row>
    <row r="13" spans="1:5" x14ac:dyDescent="0.25">
      <c r="A13" s="1" t="s">
        <v>3</v>
      </c>
      <c r="B13" s="1" t="s">
        <v>4</v>
      </c>
      <c r="C13" s="1" t="s">
        <v>5</v>
      </c>
      <c r="D13" s="1" t="s">
        <v>17</v>
      </c>
      <c r="E13" s="1" t="s">
        <v>18</v>
      </c>
    </row>
    <row r="14" spans="1:5" x14ac:dyDescent="0.25">
      <c r="A14" s="7" t="s">
        <v>19</v>
      </c>
      <c r="B14" s="8">
        <f>-B6*0.7</f>
        <v>-7735242.1999999993</v>
      </c>
      <c r="C14" s="7" t="s">
        <v>20</v>
      </c>
      <c r="D14" s="7" t="s">
        <v>21</v>
      </c>
      <c r="E14" s="7" t="s">
        <v>22</v>
      </c>
    </row>
    <row r="15" spans="1:5" x14ac:dyDescent="0.25">
      <c r="A15" s="5" t="s">
        <v>23</v>
      </c>
      <c r="B15" s="6">
        <v>-3855659</v>
      </c>
      <c r="C15" s="5" t="s">
        <v>24</v>
      </c>
      <c r="D15" s="5" t="s">
        <v>25</v>
      </c>
      <c r="E15" s="5" t="s">
        <v>26</v>
      </c>
    </row>
    <row r="16" spans="1:5" x14ac:dyDescent="0.25">
      <c r="A16" s="5" t="s">
        <v>27</v>
      </c>
      <c r="B16" s="6">
        <v>-1709147</v>
      </c>
      <c r="C16" s="5" t="s">
        <v>28</v>
      </c>
      <c r="D16" s="5" t="s">
        <v>29</v>
      </c>
      <c r="E16" s="5" t="s">
        <v>30</v>
      </c>
    </row>
    <row r="17" spans="1:5" x14ac:dyDescent="0.25">
      <c r="A17" s="5" t="s">
        <v>31</v>
      </c>
      <c r="B17" s="6">
        <v>-660855</v>
      </c>
      <c r="C17" s="5" t="s">
        <v>32</v>
      </c>
      <c r="D17" s="5" t="s">
        <v>33</v>
      </c>
      <c r="E17" s="5" t="s">
        <v>34</v>
      </c>
    </row>
    <row r="18" spans="1:5" x14ac:dyDescent="0.25">
      <c r="A18" s="5" t="s">
        <v>35</v>
      </c>
      <c r="B18" s="6">
        <v>-431885</v>
      </c>
      <c r="C18" s="5" t="s">
        <v>36</v>
      </c>
      <c r="D18" s="5" t="s">
        <v>37</v>
      </c>
      <c r="E18" s="5" t="s">
        <v>38</v>
      </c>
    </row>
    <row r="19" spans="1:5" x14ac:dyDescent="0.25">
      <c r="A19" s="5" t="s">
        <v>39</v>
      </c>
      <c r="B19" s="6">
        <v>-163088</v>
      </c>
      <c r="C19" s="5" t="s">
        <v>40</v>
      </c>
      <c r="D19" s="5" t="s">
        <v>41</v>
      </c>
      <c r="E19" s="5" t="s">
        <v>42</v>
      </c>
    </row>
    <row r="20" spans="1:5" x14ac:dyDescent="0.25">
      <c r="A20" s="5" t="s">
        <v>43</v>
      </c>
      <c r="B20" s="6">
        <v>-914608</v>
      </c>
      <c r="C20" s="5" t="s">
        <v>44</v>
      </c>
      <c r="D20" s="5" t="s">
        <v>45</v>
      </c>
      <c r="E20" s="5" t="s">
        <v>46</v>
      </c>
    </row>
    <row r="21" spans="1:5" x14ac:dyDescent="0.25">
      <c r="A21" s="2" t="s">
        <v>47</v>
      </c>
      <c r="B21" s="3">
        <f>B6+B14</f>
        <v>3315103.8000000007</v>
      </c>
      <c r="C21" s="2" t="s">
        <v>48</v>
      </c>
      <c r="D21" s="2"/>
      <c r="E21" s="2" t="s">
        <v>49</v>
      </c>
    </row>
    <row r="22" spans="1:5" x14ac:dyDescent="0.25">
      <c r="A22" s="45" t="s">
        <v>50</v>
      </c>
      <c r="B22" s="46"/>
      <c r="C22" s="46"/>
      <c r="D22" s="46"/>
      <c r="E22" s="46"/>
    </row>
    <row r="24" spans="1:5" ht="15.75" x14ac:dyDescent="0.25">
      <c r="A24" s="47" t="s">
        <v>51</v>
      </c>
      <c r="B24" s="46"/>
      <c r="C24" s="46"/>
      <c r="D24" s="46"/>
      <c r="E24" s="46"/>
    </row>
    <row r="25" spans="1:5" x14ac:dyDescent="0.25">
      <c r="A25" s="1" t="s">
        <v>3</v>
      </c>
      <c r="B25" s="1" t="s">
        <v>4</v>
      </c>
      <c r="C25" s="1" t="s">
        <v>5</v>
      </c>
      <c r="D25" s="1" t="s">
        <v>6</v>
      </c>
      <c r="E25" s="1" t="s">
        <v>7</v>
      </c>
    </row>
    <row r="26" spans="1:5" x14ac:dyDescent="0.25">
      <c r="A26" s="9" t="s">
        <v>52</v>
      </c>
      <c r="B26" s="9"/>
      <c r="C26" s="9"/>
      <c r="D26" s="9"/>
      <c r="E26" s="9"/>
    </row>
    <row r="27" spans="1:5" x14ac:dyDescent="0.25">
      <c r="A27" s="10" t="s">
        <v>53</v>
      </c>
      <c r="B27" s="11">
        <v>-3540822</v>
      </c>
      <c r="C27" s="10" t="s">
        <v>54</v>
      </c>
      <c r="D27" s="10" t="s">
        <v>55</v>
      </c>
      <c r="E27" s="10" t="s">
        <v>56</v>
      </c>
    </row>
    <row r="28" spans="1:5" x14ac:dyDescent="0.25">
      <c r="A28" s="5" t="s">
        <v>57</v>
      </c>
      <c r="B28" s="6">
        <v>-3240822</v>
      </c>
      <c r="C28" s="5"/>
      <c r="D28" s="5" t="s">
        <v>58</v>
      </c>
      <c r="E28" s="5" t="s">
        <v>59</v>
      </c>
    </row>
    <row r="29" spans="1:5" x14ac:dyDescent="0.25">
      <c r="A29" s="5" t="s">
        <v>60</v>
      </c>
      <c r="B29" s="6">
        <v>-300000</v>
      </c>
      <c r="C29" s="5"/>
      <c r="D29" s="5" t="s">
        <v>61</v>
      </c>
      <c r="E29" s="5" t="s">
        <v>62</v>
      </c>
    </row>
    <row r="30" spans="1:5" x14ac:dyDescent="0.25">
      <c r="A30" s="10" t="s">
        <v>63</v>
      </c>
      <c r="B30" s="11">
        <f>SUM(B31:B36)</f>
        <v>-963820</v>
      </c>
      <c r="C30" s="10" t="s">
        <v>64</v>
      </c>
      <c r="D30" s="10" t="s">
        <v>65</v>
      </c>
      <c r="E30" s="10" t="s">
        <v>66</v>
      </c>
    </row>
    <row r="31" spans="1:5" x14ac:dyDescent="0.25">
      <c r="A31" s="5" t="s">
        <v>67</v>
      </c>
      <c r="B31" s="6">
        <f>ROUND(B28*0.1271,0)</f>
        <v>-411908</v>
      </c>
      <c r="C31" s="5"/>
      <c r="D31" s="5" t="s">
        <v>68</v>
      </c>
      <c r="E31" s="5" t="s">
        <v>69</v>
      </c>
    </row>
    <row r="32" spans="1:5" x14ac:dyDescent="0.25">
      <c r="A32" s="5" t="s">
        <v>70</v>
      </c>
      <c r="B32" s="6">
        <f>ROUND(B28*0.0158,0)</f>
        <v>-51205</v>
      </c>
      <c r="C32" s="5"/>
      <c r="D32" s="5" t="s">
        <v>71</v>
      </c>
      <c r="E32" s="5" t="s">
        <v>72</v>
      </c>
    </row>
    <row r="33" spans="1:5" x14ac:dyDescent="0.25">
      <c r="A33" s="5" t="s">
        <v>73</v>
      </c>
      <c r="B33" s="6">
        <f>ROUND(B28*0.0556,0)</f>
        <v>-180190</v>
      </c>
      <c r="C33" s="5"/>
      <c r="D33" s="5" t="s">
        <v>74</v>
      </c>
      <c r="E33" s="5" t="s">
        <v>75</v>
      </c>
    </row>
    <row r="34" spans="1:5" x14ac:dyDescent="0.25">
      <c r="A34" s="5" t="s">
        <v>76</v>
      </c>
      <c r="B34" s="6">
        <f>ROUND(B28*0.0089,0)</f>
        <v>-28843</v>
      </c>
      <c r="C34" s="5"/>
      <c r="D34" s="5" t="s">
        <v>77</v>
      </c>
      <c r="E34" s="5" t="s">
        <v>78</v>
      </c>
    </row>
    <row r="35" spans="1:5" x14ac:dyDescent="0.25">
      <c r="A35" s="5" t="s">
        <v>79</v>
      </c>
      <c r="B35" s="6">
        <f>ROUND(B28*0.06,0)</f>
        <v>-194449</v>
      </c>
      <c r="C35" s="5"/>
      <c r="D35" s="5" t="s">
        <v>80</v>
      </c>
      <c r="E35" s="5" t="s">
        <v>81</v>
      </c>
    </row>
    <row r="36" spans="1:5" x14ac:dyDescent="0.25">
      <c r="A36" s="5" t="s">
        <v>82</v>
      </c>
      <c r="B36" s="6">
        <f>ROUND(B28*0.03,0)</f>
        <v>-97225</v>
      </c>
      <c r="C36" s="5"/>
      <c r="D36" s="5" t="s">
        <v>83</v>
      </c>
      <c r="E36" s="5" t="s">
        <v>84</v>
      </c>
    </row>
    <row r="37" spans="1:5" x14ac:dyDescent="0.25">
      <c r="A37" s="10" t="s">
        <v>85</v>
      </c>
      <c r="B37" s="11">
        <v>-379586</v>
      </c>
      <c r="C37" s="10" t="s">
        <v>86</v>
      </c>
      <c r="D37" s="10"/>
      <c r="E37" s="10" t="s">
        <v>87</v>
      </c>
    </row>
    <row r="38" spans="1:5" x14ac:dyDescent="0.25">
      <c r="A38" s="5" t="s">
        <v>88</v>
      </c>
      <c r="B38" s="6">
        <v>-1500</v>
      </c>
      <c r="C38" s="5"/>
      <c r="D38" s="5" t="s">
        <v>89</v>
      </c>
      <c r="E38" s="5" t="s">
        <v>90</v>
      </c>
    </row>
    <row r="39" spans="1:5" x14ac:dyDescent="0.25">
      <c r="A39" s="10" t="s">
        <v>91</v>
      </c>
      <c r="B39" s="11">
        <v>-350388</v>
      </c>
      <c r="C39" s="10" t="s">
        <v>92</v>
      </c>
      <c r="D39" s="10" t="s">
        <v>93</v>
      </c>
      <c r="E39" s="10" t="s">
        <v>94</v>
      </c>
    </row>
    <row r="40" spans="1:5" x14ac:dyDescent="0.25">
      <c r="A40" s="10" t="s">
        <v>95</v>
      </c>
      <c r="B40" s="11">
        <v>-196217</v>
      </c>
      <c r="C40" s="10" t="s">
        <v>96</v>
      </c>
      <c r="D40" s="10"/>
      <c r="E40" s="10" t="s">
        <v>97</v>
      </c>
    </row>
    <row r="41" spans="1:5" x14ac:dyDescent="0.25">
      <c r="A41" s="12" t="s">
        <v>98</v>
      </c>
      <c r="B41" s="13">
        <f>B27+B30+B37+B38+B39+B40</f>
        <v>-5432333</v>
      </c>
      <c r="C41" s="12" t="s">
        <v>99</v>
      </c>
      <c r="D41" s="12"/>
      <c r="E41" s="12"/>
    </row>
    <row r="43" spans="1:5" x14ac:dyDescent="0.25">
      <c r="A43" s="9" t="s">
        <v>100</v>
      </c>
      <c r="B43" s="9"/>
      <c r="C43" s="9"/>
      <c r="D43" s="9"/>
      <c r="E43" s="9"/>
    </row>
    <row r="44" spans="1:5" x14ac:dyDescent="0.25">
      <c r="A44" s="10" t="s">
        <v>101</v>
      </c>
      <c r="B44" s="11">
        <v>-132909</v>
      </c>
      <c r="C44" s="10" t="s">
        <v>102</v>
      </c>
      <c r="D44" s="10" t="s">
        <v>103</v>
      </c>
      <c r="E44" s="10" t="s">
        <v>104</v>
      </c>
    </row>
    <row r="45" spans="1:5" x14ac:dyDescent="0.25">
      <c r="A45" s="5" t="s">
        <v>105</v>
      </c>
      <c r="B45" s="5"/>
      <c r="C45" s="5"/>
      <c r="D45" s="5"/>
      <c r="E45" s="5"/>
    </row>
    <row r="46" spans="1:5" x14ac:dyDescent="0.25">
      <c r="A46" s="5" t="s">
        <v>106</v>
      </c>
      <c r="B46" s="5"/>
      <c r="C46" s="5"/>
      <c r="D46" s="5"/>
      <c r="E46" s="5"/>
    </row>
    <row r="47" spans="1:5" x14ac:dyDescent="0.25">
      <c r="A47" s="10" t="s">
        <v>107</v>
      </c>
      <c r="B47" s="11">
        <v>-173537</v>
      </c>
      <c r="C47" s="10" t="s">
        <v>108</v>
      </c>
      <c r="D47" s="10" t="s">
        <v>109</v>
      </c>
      <c r="E47" s="10" t="s">
        <v>110</v>
      </c>
    </row>
    <row r="48" spans="1:5" x14ac:dyDescent="0.25">
      <c r="A48" s="5" t="s">
        <v>111</v>
      </c>
      <c r="B48" s="5"/>
      <c r="C48" s="5"/>
      <c r="D48" s="5"/>
      <c r="E48" s="5"/>
    </row>
    <row r="49" spans="1:5" x14ac:dyDescent="0.25">
      <c r="A49" s="5" t="s">
        <v>112</v>
      </c>
      <c r="B49" s="5"/>
      <c r="C49" s="5"/>
      <c r="D49" s="5"/>
      <c r="E49" s="5"/>
    </row>
    <row r="50" spans="1:5" x14ac:dyDescent="0.25">
      <c r="A50" s="12" t="s">
        <v>113</v>
      </c>
      <c r="B50" s="13">
        <f>B44+B47</f>
        <v>-306446</v>
      </c>
      <c r="C50" s="12" t="s">
        <v>114</v>
      </c>
      <c r="D50" s="12"/>
      <c r="E50" s="12" t="s">
        <v>115</v>
      </c>
    </row>
    <row r="52" spans="1:5" x14ac:dyDescent="0.25">
      <c r="A52" s="9" t="s">
        <v>116</v>
      </c>
      <c r="B52" s="9"/>
      <c r="C52" s="9"/>
      <c r="D52" s="9"/>
      <c r="E52" s="9"/>
    </row>
    <row r="53" spans="1:5" x14ac:dyDescent="0.25">
      <c r="A53" s="14" t="s">
        <v>117</v>
      </c>
      <c r="B53" s="15">
        <v>-80000</v>
      </c>
      <c r="C53" s="14" t="s">
        <v>118</v>
      </c>
      <c r="D53" s="14"/>
      <c r="E53" s="14" t="s">
        <v>119</v>
      </c>
    </row>
    <row r="54" spans="1:5" x14ac:dyDescent="0.25">
      <c r="A54" s="14" t="s">
        <v>120</v>
      </c>
      <c r="B54" s="15">
        <v>-30000</v>
      </c>
      <c r="C54" s="14" t="s">
        <v>121</v>
      </c>
      <c r="D54" s="14"/>
      <c r="E54" s="14" t="s">
        <v>122</v>
      </c>
    </row>
    <row r="55" spans="1:5" x14ac:dyDescent="0.25">
      <c r="A55" s="14" t="s">
        <v>123</v>
      </c>
      <c r="B55" s="15">
        <v>-25000</v>
      </c>
      <c r="C55" s="14" t="s">
        <v>124</v>
      </c>
      <c r="D55" s="14"/>
      <c r="E55" s="14" t="s">
        <v>125</v>
      </c>
    </row>
    <row r="56" spans="1:5" x14ac:dyDescent="0.25">
      <c r="A56" s="14" t="s">
        <v>126</v>
      </c>
      <c r="B56" s="15">
        <v>-15000</v>
      </c>
      <c r="C56" s="14" t="s">
        <v>127</v>
      </c>
      <c r="D56" s="14"/>
      <c r="E56" s="14" t="s">
        <v>128</v>
      </c>
    </row>
    <row r="57" spans="1:5" x14ac:dyDescent="0.25">
      <c r="A57" s="14" t="s">
        <v>129</v>
      </c>
      <c r="B57" s="15">
        <v>-15000</v>
      </c>
      <c r="C57" s="14" t="s">
        <v>127</v>
      </c>
      <c r="D57" s="14"/>
      <c r="E57" s="14" t="s">
        <v>130</v>
      </c>
    </row>
    <row r="58" spans="1:5" x14ac:dyDescent="0.25">
      <c r="A58" s="14" t="s">
        <v>131</v>
      </c>
      <c r="B58" s="15">
        <v>-12000</v>
      </c>
      <c r="C58" s="14" t="s">
        <v>127</v>
      </c>
      <c r="D58" s="14"/>
      <c r="E58" s="14" t="s">
        <v>132</v>
      </c>
    </row>
    <row r="59" spans="1:5" x14ac:dyDescent="0.25">
      <c r="A59" s="14" t="s">
        <v>133</v>
      </c>
      <c r="B59" s="15">
        <v>-8000</v>
      </c>
      <c r="C59" s="14" t="s">
        <v>127</v>
      </c>
      <c r="D59" s="14"/>
      <c r="E59" s="14" t="s">
        <v>134</v>
      </c>
    </row>
    <row r="60" spans="1:5" x14ac:dyDescent="0.25">
      <c r="A60" s="12" t="s">
        <v>135</v>
      </c>
      <c r="B60" s="13">
        <f>SUM(B53:B59)</f>
        <v>-185000</v>
      </c>
      <c r="C60" s="12" t="s">
        <v>136</v>
      </c>
      <c r="D60" s="12"/>
      <c r="E60" s="12" t="s">
        <v>137</v>
      </c>
    </row>
    <row r="62" spans="1:5" x14ac:dyDescent="0.25">
      <c r="A62" s="7" t="s">
        <v>138</v>
      </c>
      <c r="B62" s="8">
        <f>B41+B50+B60</f>
        <v>-5923779</v>
      </c>
      <c r="C62" s="7" t="s">
        <v>139</v>
      </c>
      <c r="D62" s="7"/>
      <c r="E62" s="7" t="s">
        <v>140</v>
      </c>
    </row>
    <row r="64" spans="1:5" ht="15.75" x14ac:dyDescent="0.25">
      <c r="A64" s="47" t="s">
        <v>141</v>
      </c>
      <c r="B64" s="46"/>
      <c r="C64" s="46"/>
      <c r="D64" s="46"/>
      <c r="E64" s="46"/>
    </row>
    <row r="65" spans="1:5" x14ac:dyDescent="0.25">
      <c r="A65" s="1" t="s">
        <v>3</v>
      </c>
      <c r="B65" s="1" t="s">
        <v>4</v>
      </c>
      <c r="C65" s="1" t="s">
        <v>5</v>
      </c>
      <c r="D65" s="1" t="s">
        <v>6</v>
      </c>
      <c r="E65" s="1" t="s">
        <v>7</v>
      </c>
    </row>
    <row r="66" spans="1:5" x14ac:dyDescent="0.25">
      <c r="A66" s="9" t="s">
        <v>142</v>
      </c>
      <c r="B66" s="9"/>
      <c r="C66" s="9"/>
      <c r="D66" s="9"/>
      <c r="E66" s="9"/>
    </row>
    <row r="67" spans="1:5" x14ac:dyDescent="0.25">
      <c r="A67" s="10" t="s">
        <v>143</v>
      </c>
      <c r="B67" s="11">
        <f>-'Comisiones Financieras'!D27</f>
        <v>-31967</v>
      </c>
      <c r="C67" s="10" t="s">
        <v>144</v>
      </c>
      <c r="D67" s="10" t="s">
        <v>145</v>
      </c>
      <c r="E67" s="10" t="s">
        <v>146</v>
      </c>
    </row>
    <row r="68" spans="1:5" x14ac:dyDescent="0.25">
      <c r="A68" s="10" t="s">
        <v>147</v>
      </c>
      <c r="B68" s="11">
        <f>-'Comisiones Financieras'!D26</f>
        <v>-43378</v>
      </c>
      <c r="C68" s="10" t="s">
        <v>148</v>
      </c>
      <c r="D68" s="10" t="s">
        <v>102</v>
      </c>
      <c r="E68" s="10" t="s">
        <v>149</v>
      </c>
    </row>
    <row r="69" spans="1:5" x14ac:dyDescent="0.25">
      <c r="A69" s="10" t="s">
        <v>150</v>
      </c>
      <c r="B69" s="11">
        <f>-'Comisiones Financieras'!D28</f>
        <v>-17535</v>
      </c>
      <c r="C69" s="10" t="s">
        <v>151</v>
      </c>
      <c r="D69" s="10" t="s">
        <v>40</v>
      </c>
      <c r="E69" s="10" t="s">
        <v>152</v>
      </c>
    </row>
    <row r="70" spans="1:5" x14ac:dyDescent="0.25">
      <c r="A70" s="16" t="s">
        <v>153</v>
      </c>
      <c r="B70" s="17">
        <f>-'Comisiones Financieras'!D29</f>
        <v>-92880</v>
      </c>
      <c r="C70" s="16" t="s">
        <v>154</v>
      </c>
      <c r="D70" s="16"/>
      <c r="E70" s="16"/>
    </row>
    <row r="72" spans="1:5" x14ac:dyDescent="0.25">
      <c r="A72" s="9" t="s">
        <v>155</v>
      </c>
      <c r="B72" s="9"/>
      <c r="C72" s="9"/>
      <c r="D72" s="9"/>
      <c r="E72" s="9"/>
    </row>
    <row r="73" spans="1:5" x14ac:dyDescent="0.25">
      <c r="A73" s="10" t="s">
        <v>156</v>
      </c>
      <c r="B73" s="11">
        <f>ROUND(-B6/1.21*0.03,0)</f>
        <v>-273976</v>
      </c>
      <c r="C73" s="10" t="s">
        <v>157</v>
      </c>
      <c r="D73" s="10" t="s">
        <v>158</v>
      </c>
      <c r="E73" s="10" t="s">
        <v>159</v>
      </c>
    </row>
    <row r="74" spans="1:5" x14ac:dyDescent="0.25">
      <c r="A74" s="10" t="s">
        <v>160</v>
      </c>
      <c r="B74" s="11">
        <f>-'Comisiones Financieras'!B45</f>
        <v>-70193</v>
      </c>
      <c r="C74" s="10" t="s">
        <v>161</v>
      </c>
      <c r="D74" s="10" t="s">
        <v>162</v>
      </c>
      <c r="E74" s="10" t="s">
        <v>163</v>
      </c>
    </row>
    <row r="75" spans="1:5" x14ac:dyDescent="0.25">
      <c r="A75" s="16" t="s">
        <v>164</v>
      </c>
      <c r="B75" s="17">
        <f>B73+B74</f>
        <v>-344169</v>
      </c>
      <c r="C75" s="16" t="s">
        <v>165</v>
      </c>
      <c r="D75" s="16"/>
      <c r="E75" s="16"/>
    </row>
    <row r="77" spans="1:5" x14ac:dyDescent="0.25">
      <c r="A77" s="9" t="s">
        <v>166</v>
      </c>
      <c r="B77" s="9"/>
      <c r="C77" s="9"/>
      <c r="D77" s="9"/>
      <c r="E77" s="9"/>
    </row>
    <row r="78" spans="1:5" x14ac:dyDescent="0.25">
      <c r="A78" s="14" t="s">
        <v>167</v>
      </c>
      <c r="B78" s="15">
        <f>-B6*0.05</f>
        <v>-552517.30000000005</v>
      </c>
      <c r="C78" s="14" t="s">
        <v>168</v>
      </c>
      <c r="D78" s="14"/>
      <c r="E78" s="14" t="s">
        <v>169</v>
      </c>
    </row>
    <row r="80" spans="1:5" x14ac:dyDescent="0.25">
      <c r="A80" s="9" t="s">
        <v>170</v>
      </c>
      <c r="B80" s="9"/>
      <c r="C80" s="9"/>
      <c r="D80" s="9"/>
      <c r="E80" s="9"/>
    </row>
    <row r="81" spans="1:5" x14ac:dyDescent="0.25">
      <c r="A81" s="5" t="s">
        <v>171</v>
      </c>
      <c r="B81" s="6">
        <f>-'Comisiones Financieras'!E35</f>
        <v>-21019</v>
      </c>
      <c r="C81" s="5" t="s">
        <v>172</v>
      </c>
      <c r="D81" s="5" t="s">
        <v>173</v>
      </c>
      <c r="E81" s="5" t="s">
        <v>174</v>
      </c>
    </row>
    <row r="82" spans="1:5" x14ac:dyDescent="0.25">
      <c r="A82" s="5" t="s">
        <v>175</v>
      </c>
      <c r="B82" s="6">
        <f>-'Comisiones Financieras'!E34</f>
        <v>-11885</v>
      </c>
      <c r="C82" s="5" t="s">
        <v>176</v>
      </c>
      <c r="D82" s="5" t="s">
        <v>173</v>
      </c>
      <c r="E82" s="5" t="s">
        <v>177</v>
      </c>
    </row>
    <row r="83" spans="1:5" x14ac:dyDescent="0.25">
      <c r="A83" s="5" t="s">
        <v>178</v>
      </c>
      <c r="B83" s="6">
        <f>-'Comisiones Financieras'!E36</f>
        <v>-2562</v>
      </c>
      <c r="C83" s="5" t="s">
        <v>179</v>
      </c>
      <c r="D83" s="5" t="s">
        <v>173</v>
      </c>
      <c r="E83" s="5" t="s">
        <v>180</v>
      </c>
    </row>
    <row r="84" spans="1:5" x14ac:dyDescent="0.25">
      <c r="A84" s="16" t="s">
        <v>181</v>
      </c>
      <c r="B84" s="17">
        <f>-'Comisiones Financieras'!E37</f>
        <v>-35466</v>
      </c>
      <c r="C84" s="16" t="s">
        <v>182</v>
      </c>
      <c r="D84" s="16"/>
      <c r="E84" s="16" t="s">
        <v>183</v>
      </c>
    </row>
    <row r="86" spans="1:5" x14ac:dyDescent="0.25">
      <c r="A86" s="7" t="s">
        <v>184</v>
      </c>
      <c r="B86" s="8">
        <f>B70+B75+B78+B84</f>
        <v>-1025032.3</v>
      </c>
      <c r="C86" s="7" t="s">
        <v>185</v>
      </c>
      <c r="D86" s="7"/>
      <c r="E86" s="7"/>
    </row>
    <row r="88" spans="1:5" ht="15.75" x14ac:dyDescent="0.25">
      <c r="A88" s="47" t="s">
        <v>186</v>
      </c>
      <c r="B88" s="46"/>
      <c r="C88" s="46"/>
      <c r="D88" s="46"/>
      <c r="E88" s="46"/>
    </row>
    <row r="89" spans="1:5" x14ac:dyDescent="0.25">
      <c r="A89" s="1" t="s">
        <v>3</v>
      </c>
      <c r="B89" s="1" t="s">
        <v>4</v>
      </c>
      <c r="C89" s="1" t="s">
        <v>5</v>
      </c>
      <c r="D89" s="1"/>
      <c r="E89" s="1" t="s">
        <v>7</v>
      </c>
    </row>
    <row r="90" spans="1:5" x14ac:dyDescent="0.25">
      <c r="A90" s="10" t="s">
        <v>187</v>
      </c>
      <c r="B90" s="11">
        <f>B6</f>
        <v>11050346</v>
      </c>
      <c r="C90" s="10" t="s">
        <v>9</v>
      </c>
      <c r="D90" s="10"/>
      <c r="E90" s="10"/>
    </row>
    <row r="91" spans="1:5" x14ac:dyDescent="0.25">
      <c r="A91" s="10" t="s">
        <v>188</v>
      </c>
      <c r="B91" s="11">
        <f>B14</f>
        <v>-7735242.1999999993</v>
      </c>
      <c r="C91" s="10" t="s">
        <v>20</v>
      </c>
      <c r="D91" s="10"/>
      <c r="E91" s="10"/>
    </row>
    <row r="92" spans="1:5" x14ac:dyDescent="0.25">
      <c r="A92" s="16" t="s">
        <v>47</v>
      </c>
      <c r="B92" s="17">
        <f>B90+B91</f>
        <v>3315103.8000000007</v>
      </c>
      <c r="C92" s="16" t="s">
        <v>48</v>
      </c>
      <c r="D92" s="16"/>
      <c r="E92" s="16"/>
    </row>
    <row r="93" spans="1:5" x14ac:dyDescent="0.25">
      <c r="A93" s="10" t="s">
        <v>189</v>
      </c>
      <c r="B93" s="11">
        <f>B62</f>
        <v>-5923779</v>
      </c>
      <c r="C93" s="10" t="s">
        <v>139</v>
      </c>
      <c r="D93" s="10"/>
      <c r="E93" s="10" t="s">
        <v>140</v>
      </c>
    </row>
    <row r="94" spans="1:5" x14ac:dyDescent="0.25">
      <c r="A94" s="10" t="s">
        <v>190</v>
      </c>
      <c r="B94" s="11">
        <f>B86</f>
        <v>-1025032.3</v>
      </c>
      <c r="C94" s="10" t="s">
        <v>185</v>
      </c>
      <c r="D94" s="10"/>
      <c r="E94" s="10"/>
    </row>
    <row r="95" spans="1:5" x14ac:dyDescent="0.25">
      <c r="A95" s="18" t="s">
        <v>191</v>
      </c>
      <c r="B95" s="19">
        <f>B92+B93+B94</f>
        <v>-3633707.4999999991</v>
      </c>
      <c r="C95" s="18" t="s">
        <v>192</v>
      </c>
      <c r="D95" s="18"/>
      <c r="E95" s="18" t="s">
        <v>193</v>
      </c>
    </row>
    <row r="96" spans="1:5" x14ac:dyDescent="0.25">
      <c r="A96" s="45" t="s">
        <v>194</v>
      </c>
      <c r="B96" s="46"/>
      <c r="C96" s="46"/>
      <c r="D96" s="46"/>
      <c r="E96" s="46"/>
    </row>
    <row r="98" spans="1:5" ht="15.75" x14ac:dyDescent="0.25">
      <c r="A98" s="47" t="s">
        <v>195</v>
      </c>
      <c r="B98" s="46"/>
      <c r="C98" s="46"/>
      <c r="D98" s="46"/>
      <c r="E98" s="46"/>
    </row>
    <row r="99" spans="1:5" x14ac:dyDescent="0.25">
      <c r="A99" s="16" t="s">
        <v>196</v>
      </c>
      <c r="B99" s="17">
        <f>-B62/(0.3+B86/B6)</f>
        <v>28584176.335775543</v>
      </c>
      <c r="C99" s="16"/>
      <c r="D99" s="16"/>
      <c r="E99" s="16" t="s">
        <v>197</v>
      </c>
    </row>
    <row r="100" spans="1:5" x14ac:dyDescent="0.25">
      <c r="A100" s="10" t="s">
        <v>198</v>
      </c>
      <c r="B100" s="11">
        <f>B6</f>
        <v>11050346</v>
      </c>
      <c r="C100" s="10"/>
      <c r="D100" s="10"/>
      <c r="E100" s="10"/>
    </row>
    <row r="101" spans="1:5" x14ac:dyDescent="0.25">
      <c r="A101" s="7" t="s">
        <v>199</v>
      </c>
      <c r="B101" s="20">
        <f>B100/B99</f>
        <v>0.38658962462981822</v>
      </c>
      <c r="C101" s="7"/>
      <c r="D101" s="7"/>
      <c r="E101" s="7" t="s">
        <v>200</v>
      </c>
    </row>
    <row r="103" spans="1:5" ht="15.75" x14ac:dyDescent="0.25">
      <c r="A103" s="47" t="s">
        <v>201</v>
      </c>
      <c r="B103" s="46"/>
      <c r="C103" s="46"/>
      <c r="D103" s="46"/>
      <c r="E103" s="46"/>
    </row>
    <row r="104" spans="1:5" x14ac:dyDescent="0.25">
      <c r="A104" s="45" t="s">
        <v>202</v>
      </c>
      <c r="B104" s="46"/>
      <c r="C104" s="46"/>
      <c r="D104" s="46"/>
      <c r="E104" s="46"/>
    </row>
    <row r="105" spans="1:5" x14ac:dyDescent="0.25">
      <c r="A105" s="45" t="s">
        <v>203</v>
      </c>
      <c r="B105" s="46"/>
      <c r="C105" s="46"/>
      <c r="D105" s="46"/>
      <c r="E105" s="46"/>
    </row>
    <row r="106" spans="1:5" x14ac:dyDescent="0.25">
      <c r="A106" s="45" t="s">
        <v>204</v>
      </c>
      <c r="B106" s="46"/>
      <c r="C106" s="46"/>
      <c r="D106" s="46"/>
      <c r="E106" s="46"/>
    </row>
    <row r="107" spans="1:5" x14ac:dyDescent="0.25">
      <c r="A107" s="45" t="s">
        <v>205</v>
      </c>
      <c r="B107" s="46"/>
      <c r="C107" s="46"/>
      <c r="D107" s="46"/>
      <c r="E107" s="46"/>
    </row>
    <row r="108" spans="1:5" x14ac:dyDescent="0.25">
      <c r="A108" s="45" t="s">
        <v>206</v>
      </c>
      <c r="B108" s="46"/>
      <c r="C108" s="46"/>
      <c r="D108" s="46"/>
      <c r="E108" s="46"/>
    </row>
    <row r="109" spans="1:5" x14ac:dyDescent="0.25">
      <c r="A109" s="45" t="s">
        <v>207</v>
      </c>
      <c r="B109" s="46"/>
      <c r="C109" s="46"/>
      <c r="D109" s="46"/>
      <c r="E109" s="46"/>
    </row>
    <row r="110" spans="1:5" x14ac:dyDescent="0.25">
      <c r="A110" s="45" t="s">
        <v>208</v>
      </c>
      <c r="B110" s="46"/>
      <c r="C110" s="46"/>
      <c r="D110" s="46"/>
      <c r="E110" s="46"/>
    </row>
    <row r="111" spans="1:5" x14ac:dyDescent="0.25">
      <c r="A111" s="45" t="s">
        <v>209</v>
      </c>
      <c r="B111" s="46"/>
      <c r="C111" s="46"/>
      <c r="D111" s="46"/>
      <c r="E111" s="46"/>
    </row>
    <row r="112" spans="1:5" x14ac:dyDescent="0.25">
      <c r="A112" s="45" t="s">
        <v>210</v>
      </c>
      <c r="B112" s="46"/>
      <c r="C112" s="46"/>
      <c r="D112" s="46"/>
      <c r="E112" s="46"/>
    </row>
    <row r="113" spans="1:5" x14ac:dyDescent="0.25">
      <c r="A113" s="45" t="s">
        <v>211</v>
      </c>
      <c r="B113" s="46"/>
      <c r="C113" s="46"/>
      <c r="D113" s="46"/>
      <c r="E113" s="46"/>
    </row>
    <row r="114" spans="1:5" x14ac:dyDescent="0.25">
      <c r="A114" s="45" t="s">
        <v>212</v>
      </c>
      <c r="B114" s="46"/>
      <c r="C114" s="46"/>
      <c r="D114" s="46"/>
      <c r="E114" s="46"/>
    </row>
    <row r="115" spans="1:5" x14ac:dyDescent="0.25">
      <c r="A115" s="45" t="s">
        <v>213</v>
      </c>
      <c r="B115" s="46"/>
      <c r="C115" s="46"/>
      <c r="D115" s="46"/>
      <c r="E115" s="46"/>
    </row>
    <row r="116" spans="1:5" x14ac:dyDescent="0.25">
      <c r="A116" s="45" t="s">
        <v>214</v>
      </c>
      <c r="B116" s="46"/>
      <c r="C116" s="46"/>
      <c r="D116" s="46"/>
      <c r="E116" s="46"/>
    </row>
    <row r="117" spans="1:5" x14ac:dyDescent="0.25">
      <c r="A117" s="45" t="s">
        <v>215</v>
      </c>
      <c r="B117" s="46"/>
      <c r="C117" s="46"/>
      <c r="D117" s="46"/>
      <c r="E117" s="46"/>
    </row>
    <row r="118" spans="1:5" x14ac:dyDescent="0.25">
      <c r="A118" s="45" t="s">
        <v>216</v>
      </c>
      <c r="B118" s="46"/>
      <c r="C118" s="46"/>
      <c r="D118" s="46"/>
      <c r="E118" s="46"/>
    </row>
    <row r="119" spans="1:5" x14ac:dyDescent="0.25">
      <c r="A119" s="45" t="s">
        <v>217</v>
      </c>
      <c r="B119" s="46"/>
      <c r="C119" s="46"/>
      <c r="D119" s="46"/>
      <c r="E119" s="46"/>
    </row>
    <row r="120" spans="1:5" x14ac:dyDescent="0.25">
      <c r="A120" s="45" t="s">
        <v>218</v>
      </c>
      <c r="B120" s="46"/>
      <c r="C120" s="46"/>
      <c r="D120" s="46"/>
      <c r="E120" s="46"/>
    </row>
    <row r="121" spans="1:5" x14ac:dyDescent="0.25">
      <c r="A121" s="45" t="s">
        <v>219</v>
      </c>
      <c r="B121" s="46"/>
      <c r="C121" s="46"/>
      <c r="D121" s="46"/>
      <c r="E121" s="46"/>
    </row>
    <row r="122" spans="1:5" x14ac:dyDescent="0.25">
      <c r="A122" s="45" t="s">
        <v>220</v>
      </c>
      <c r="B122" s="46"/>
      <c r="C122" s="46"/>
      <c r="D122" s="46"/>
      <c r="E122" s="46"/>
    </row>
    <row r="123" spans="1:5" x14ac:dyDescent="0.25">
      <c r="A123" s="45" t="s">
        <v>221</v>
      </c>
      <c r="B123" s="46"/>
      <c r="C123" s="46"/>
      <c r="D123" s="46"/>
      <c r="E123" s="46"/>
    </row>
    <row r="124" spans="1:5" x14ac:dyDescent="0.25">
      <c r="A124" s="45" t="s">
        <v>222</v>
      </c>
      <c r="B124" s="46"/>
      <c r="C124" s="46"/>
      <c r="D124" s="46"/>
      <c r="E124" s="46"/>
    </row>
  </sheetData>
  <mergeCells count="32">
    <mergeCell ref="A124:E124"/>
    <mergeCell ref="A108:E108"/>
    <mergeCell ref="A118:E118"/>
    <mergeCell ref="A120:E120"/>
    <mergeCell ref="A105:E105"/>
    <mergeCell ref="A113:E113"/>
    <mergeCell ref="A116:E116"/>
    <mergeCell ref="A106:E106"/>
    <mergeCell ref="A122:E122"/>
    <mergeCell ref="A109:E109"/>
    <mergeCell ref="A112:E112"/>
    <mergeCell ref="A121:E121"/>
    <mergeCell ref="A115:E115"/>
    <mergeCell ref="A117:E117"/>
    <mergeCell ref="A111:E111"/>
    <mergeCell ref="A1:E1"/>
    <mergeCell ref="A103:E103"/>
    <mergeCell ref="A123:E123"/>
    <mergeCell ref="A119:E119"/>
    <mergeCell ref="A88:E88"/>
    <mergeCell ref="A110:E110"/>
    <mergeCell ref="A12:E12"/>
    <mergeCell ref="A2:E2"/>
    <mergeCell ref="A104:E104"/>
    <mergeCell ref="A22:E22"/>
    <mergeCell ref="A4:E4"/>
    <mergeCell ref="A96:E96"/>
    <mergeCell ref="A114:E114"/>
    <mergeCell ref="A24:E24"/>
    <mergeCell ref="A64:E64"/>
    <mergeCell ref="A98:E98"/>
    <mergeCell ref="A107:E10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3"/>
  <sheetViews>
    <sheetView showGridLines="0" workbookViewId="0">
      <pane ySplit="5" topLeftCell="A23" activePane="bottomLeft" state="frozen"/>
      <selection pane="bottomLeft" activeCell="B28" sqref="B28"/>
    </sheetView>
  </sheetViews>
  <sheetFormatPr baseColWidth="10" defaultColWidth="9.140625" defaultRowHeight="15" x14ac:dyDescent="0.25"/>
  <cols>
    <col min="1" max="1" width="40" customWidth="1"/>
    <col min="2" max="2" width="14" customWidth="1"/>
    <col min="3" max="4" width="18" customWidth="1"/>
    <col min="5" max="5" width="12" customWidth="1"/>
    <col min="6" max="6" width="48" customWidth="1"/>
  </cols>
  <sheetData>
    <row r="1" spans="1:6" ht="18.75" x14ac:dyDescent="0.3">
      <c r="A1" s="48" t="s">
        <v>538</v>
      </c>
      <c r="B1" s="46"/>
      <c r="C1" s="46"/>
      <c r="D1" s="46"/>
      <c r="E1" s="46"/>
      <c r="F1" s="46"/>
    </row>
    <row r="2" spans="1:6" x14ac:dyDescent="0.25">
      <c r="A2" s="45" t="s">
        <v>539</v>
      </c>
      <c r="B2" s="46"/>
      <c r="C2" s="46"/>
      <c r="D2" s="46"/>
      <c r="E2" s="46"/>
      <c r="F2" s="46"/>
    </row>
    <row r="4" spans="1:6" ht="15.75" x14ac:dyDescent="0.25">
      <c r="A4" s="47" t="s">
        <v>540</v>
      </c>
      <c r="B4" s="46"/>
      <c r="C4" s="46"/>
      <c r="D4" s="46"/>
      <c r="E4" s="46"/>
      <c r="F4" s="46"/>
    </row>
    <row r="5" spans="1:6" x14ac:dyDescent="0.25">
      <c r="A5" s="16" t="s">
        <v>541</v>
      </c>
      <c r="B5" s="16"/>
      <c r="C5" s="17">
        <f>C63</f>
        <v>-3633707</v>
      </c>
      <c r="D5" s="16"/>
      <c r="E5" s="38">
        <f>IF(B10&gt;0,C63/B10,0)</f>
        <v>-0.32883196598549946</v>
      </c>
      <c r="F5" s="16" t="s">
        <v>542</v>
      </c>
    </row>
    <row r="7" spans="1:6" ht="15.75" x14ac:dyDescent="0.25">
      <c r="A7" s="47" t="s">
        <v>543</v>
      </c>
      <c r="B7" s="46"/>
      <c r="C7" s="46"/>
      <c r="D7" s="46"/>
      <c r="E7" s="46"/>
      <c r="F7" s="46"/>
    </row>
    <row r="8" spans="1:6" x14ac:dyDescent="0.25">
      <c r="A8" s="1" t="s">
        <v>544</v>
      </c>
      <c r="B8" s="1" t="s">
        <v>545</v>
      </c>
      <c r="C8" s="1"/>
      <c r="D8" s="1"/>
      <c r="E8" s="1"/>
      <c r="F8" s="1" t="s">
        <v>478</v>
      </c>
    </row>
    <row r="9" spans="1:6" x14ac:dyDescent="0.25">
      <c r="A9" s="45" t="s">
        <v>546</v>
      </c>
      <c r="B9" s="46"/>
      <c r="C9" s="46"/>
      <c r="D9" s="46"/>
      <c r="E9" s="46"/>
      <c r="F9" s="46"/>
    </row>
    <row r="10" spans="1:6" x14ac:dyDescent="0.25">
      <c r="A10" s="14" t="s">
        <v>547</v>
      </c>
      <c r="B10" s="15">
        <v>11050346</v>
      </c>
      <c r="C10" s="14"/>
      <c r="D10" s="14"/>
      <c r="E10" s="14"/>
      <c r="F10" s="14" t="s">
        <v>548</v>
      </c>
    </row>
    <row r="11" spans="1:6" x14ac:dyDescent="0.25">
      <c r="A11" s="14" t="s">
        <v>549</v>
      </c>
      <c r="B11" s="42">
        <v>0.3</v>
      </c>
      <c r="C11" s="14"/>
      <c r="D11" s="14"/>
      <c r="E11" s="14"/>
      <c r="F11" s="14" t="s">
        <v>550</v>
      </c>
    </row>
    <row r="12" spans="1:6" x14ac:dyDescent="0.25">
      <c r="A12" s="14" t="s">
        <v>551</v>
      </c>
      <c r="B12" s="25">
        <v>3</v>
      </c>
      <c r="C12" s="14"/>
      <c r="D12" s="14"/>
      <c r="E12" s="14"/>
      <c r="F12" s="14" t="s">
        <v>552</v>
      </c>
    </row>
    <row r="13" spans="1:6" x14ac:dyDescent="0.25">
      <c r="A13" s="14" t="s">
        <v>553</v>
      </c>
      <c r="B13" s="15">
        <v>1080274</v>
      </c>
      <c r="C13" s="14"/>
      <c r="D13" s="14"/>
      <c r="E13" s="14"/>
      <c r="F13" s="14" t="s">
        <v>554</v>
      </c>
    </row>
    <row r="14" spans="1:6" x14ac:dyDescent="0.25">
      <c r="A14" s="14" t="s">
        <v>555</v>
      </c>
      <c r="B14" s="15">
        <v>100000</v>
      </c>
      <c r="C14" s="14"/>
      <c r="D14" s="14"/>
      <c r="E14" s="14"/>
      <c r="F14" s="14" t="s">
        <v>556</v>
      </c>
    </row>
    <row r="15" spans="1:6" x14ac:dyDescent="0.25">
      <c r="A15" s="14" t="s">
        <v>557</v>
      </c>
      <c r="B15" s="35">
        <v>0.2974</v>
      </c>
      <c r="C15" s="14"/>
      <c r="D15" s="14"/>
      <c r="E15" s="14"/>
      <c r="F15" s="14" t="s">
        <v>558</v>
      </c>
    </row>
    <row r="16" spans="1:6" x14ac:dyDescent="0.25">
      <c r="A16" s="14" t="s">
        <v>559</v>
      </c>
      <c r="B16" s="15">
        <v>250</v>
      </c>
      <c r="C16" s="14"/>
      <c r="D16" s="14"/>
      <c r="E16" s="14"/>
      <c r="F16" s="14" t="s">
        <v>560</v>
      </c>
    </row>
    <row r="17" spans="1:6" x14ac:dyDescent="0.25">
      <c r="A17" s="14" t="s">
        <v>561</v>
      </c>
      <c r="B17" s="15">
        <v>500</v>
      </c>
      <c r="C17" s="14"/>
      <c r="D17" s="14"/>
      <c r="E17" s="14"/>
      <c r="F17" s="14" t="s">
        <v>562</v>
      </c>
    </row>
    <row r="18" spans="1:6" x14ac:dyDescent="0.25">
      <c r="A18" s="14" t="s">
        <v>563</v>
      </c>
      <c r="B18" s="35">
        <v>0.03</v>
      </c>
      <c r="C18" s="14"/>
      <c r="D18" s="14"/>
      <c r="E18" s="14"/>
      <c r="F18" s="14" t="s">
        <v>564</v>
      </c>
    </row>
    <row r="19" spans="1:6" x14ac:dyDescent="0.25">
      <c r="A19" s="14" t="s">
        <v>565</v>
      </c>
      <c r="B19" s="35">
        <v>1.2E-2</v>
      </c>
      <c r="C19" s="14"/>
      <c r="D19" s="14"/>
      <c r="E19" s="14"/>
      <c r="F19" s="14" t="s">
        <v>566</v>
      </c>
    </row>
    <row r="20" spans="1:6" x14ac:dyDescent="0.25">
      <c r="A20" s="14" t="s">
        <v>567</v>
      </c>
      <c r="B20" s="35">
        <v>1.4999999999999999E-2</v>
      </c>
      <c r="C20" s="14"/>
      <c r="D20" s="14"/>
      <c r="E20" s="14"/>
      <c r="F20" s="14" t="s">
        <v>568</v>
      </c>
    </row>
    <row r="21" spans="1:6" x14ac:dyDescent="0.25">
      <c r="A21" s="14" t="s">
        <v>569</v>
      </c>
      <c r="B21" s="35">
        <v>0.4</v>
      </c>
      <c r="C21" s="14"/>
      <c r="D21" s="14"/>
      <c r="E21" s="14"/>
      <c r="F21" s="14" t="s">
        <v>570</v>
      </c>
    </row>
    <row r="22" spans="1:6" x14ac:dyDescent="0.25">
      <c r="A22" s="14" t="s">
        <v>571</v>
      </c>
      <c r="B22" s="35">
        <v>0.03</v>
      </c>
      <c r="C22" s="14"/>
      <c r="D22" s="14"/>
      <c r="E22" s="14"/>
      <c r="F22" s="14" t="s">
        <v>572</v>
      </c>
    </row>
    <row r="23" spans="1:6" x14ac:dyDescent="0.25">
      <c r="A23" s="14" t="s">
        <v>573</v>
      </c>
      <c r="B23" s="35">
        <v>1.2E-2</v>
      </c>
      <c r="C23" s="14"/>
      <c r="D23" s="14"/>
      <c r="E23" s="14"/>
      <c r="F23" s="14" t="s">
        <v>574</v>
      </c>
    </row>
    <row r="24" spans="1:6" x14ac:dyDescent="0.25">
      <c r="A24" s="14" t="s">
        <v>575</v>
      </c>
      <c r="B24" s="42">
        <v>0.05</v>
      </c>
      <c r="C24" s="14"/>
      <c r="D24" s="14"/>
      <c r="E24" s="14"/>
      <c r="F24" s="14" t="s">
        <v>576</v>
      </c>
    </row>
    <row r="26" spans="1:6" ht="15.75" x14ac:dyDescent="0.25">
      <c r="A26" s="47" t="s">
        <v>577</v>
      </c>
      <c r="B26" s="46"/>
      <c r="C26" s="46"/>
      <c r="D26" s="46"/>
      <c r="E26" s="46"/>
      <c r="F26" s="46"/>
    </row>
    <row r="27" spans="1:6" x14ac:dyDescent="0.25">
      <c r="A27" s="1" t="s">
        <v>3</v>
      </c>
      <c r="B27" s="1" t="s">
        <v>578</v>
      </c>
      <c r="C27" s="1" t="s">
        <v>509</v>
      </c>
      <c r="D27" s="1" t="s">
        <v>579</v>
      </c>
      <c r="E27" s="1" t="s">
        <v>580</v>
      </c>
      <c r="F27" s="1" t="s">
        <v>581</v>
      </c>
    </row>
    <row r="28" spans="1:6" x14ac:dyDescent="0.25">
      <c r="A28" s="10" t="s">
        <v>582</v>
      </c>
      <c r="B28" s="43" t="s">
        <v>583</v>
      </c>
      <c r="C28" s="11">
        <f>(B13+B14)*B12</f>
        <v>3540822</v>
      </c>
      <c r="D28" s="11">
        <f t="shared" ref="D28:D42" si="0">IF(B28="SI",C28,0)</f>
        <v>3540822</v>
      </c>
      <c r="E28" s="37">
        <f>IF(B10&gt;0,D28/B10,0)</f>
        <v>0.32042634683113091</v>
      </c>
      <c r="F28" s="5" t="s">
        <v>584</v>
      </c>
    </row>
    <row r="29" spans="1:6" x14ac:dyDescent="0.25">
      <c r="A29" s="10" t="s">
        <v>63</v>
      </c>
      <c r="B29" s="43" t="s">
        <v>583</v>
      </c>
      <c r="C29" s="11">
        <f>ROUND(B13*B12*B15,0)</f>
        <v>963820</v>
      </c>
      <c r="D29" s="11">
        <f t="shared" si="0"/>
        <v>963820</v>
      </c>
      <c r="E29" s="37">
        <f>IF(B10&gt;0,D29/B10,0)</f>
        <v>8.7220798335183355E-2</v>
      </c>
      <c r="F29" s="5" t="s">
        <v>585</v>
      </c>
    </row>
    <row r="30" spans="1:6" x14ac:dyDescent="0.25">
      <c r="A30" s="10" t="s">
        <v>85</v>
      </c>
      <c r="B30" s="43" t="s">
        <v>583</v>
      </c>
      <c r="C30" s="11">
        <f>ROUND((B13*B12+ROUND(B13/12,0)*B12+ROUND(B13*B12*B15,0)+ROUND(ROUND(B13/12,0)*B12*B15,0))/12,0)</f>
        <v>379586</v>
      </c>
      <c r="D30" s="11">
        <f t="shared" si="0"/>
        <v>379586</v>
      </c>
      <c r="E30" s="37">
        <f>IF(B10&gt;0,D30/B10,0)</f>
        <v>3.4350598614740206E-2</v>
      </c>
      <c r="F30" s="5" t="s">
        <v>586</v>
      </c>
    </row>
    <row r="31" spans="1:6" x14ac:dyDescent="0.25">
      <c r="A31" s="10" t="s">
        <v>587</v>
      </c>
      <c r="B31" s="43" t="s">
        <v>583</v>
      </c>
      <c r="C31" s="11">
        <f>ROUND(ROUND(B13/12,0)*B12*(1+B15),0)</f>
        <v>350388</v>
      </c>
      <c r="D31" s="11">
        <f t="shared" si="0"/>
        <v>350388</v>
      </c>
      <c r="E31" s="37">
        <f>IF(B10&gt;0,D31/B10,0)</f>
        <v>3.1708328408902309E-2</v>
      </c>
      <c r="F31" s="5" t="s">
        <v>588</v>
      </c>
    </row>
    <row r="32" spans="1:6" x14ac:dyDescent="0.25">
      <c r="A32" s="10" t="s">
        <v>589</v>
      </c>
      <c r="B32" s="43" t="s">
        <v>583</v>
      </c>
      <c r="C32" s="11">
        <f>ROUND(ROUND(B13/25*14/12,0)*B12*(1+B15),0)</f>
        <v>196217</v>
      </c>
      <c r="D32" s="11">
        <f t="shared" si="0"/>
        <v>196217</v>
      </c>
      <c r="E32" s="37">
        <f>IF(B10&gt;0,D32/B10,0)</f>
        <v>1.7756638570412184E-2</v>
      </c>
      <c r="F32" s="5" t="s">
        <v>590</v>
      </c>
    </row>
    <row r="33" spans="1:6" x14ac:dyDescent="0.25">
      <c r="A33" s="10" t="s">
        <v>88</v>
      </c>
      <c r="B33" s="43" t="s">
        <v>583</v>
      </c>
      <c r="C33" s="15">
        <v>1500</v>
      </c>
      <c r="D33" s="11">
        <f t="shared" si="0"/>
        <v>1500</v>
      </c>
      <c r="E33" s="37">
        <f>IF(B10&gt;0,D33/B10,0)</f>
        <v>1.3574235594070991E-4</v>
      </c>
      <c r="F33" s="5" t="s">
        <v>591</v>
      </c>
    </row>
    <row r="34" spans="1:6" x14ac:dyDescent="0.25">
      <c r="A34" s="10" t="s">
        <v>592</v>
      </c>
      <c r="B34" s="43" t="s">
        <v>583</v>
      </c>
      <c r="C34" s="11">
        <f>ROUND((24129+B16*307.77)*1.315,0)</f>
        <v>132909</v>
      </c>
      <c r="D34" s="11">
        <f t="shared" si="0"/>
        <v>132909</v>
      </c>
      <c r="E34" s="37">
        <f>IF(B10&gt;0,D34/B10,0)</f>
        <v>1.2027587190482542E-2</v>
      </c>
      <c r="F34" s="5" t="s">
        <v>593</v>
      </c>
    </row>
    <row r="35" spans="1:6" x14ac:dyDescent="0.25">
      <c r="A35" s="10" t="s">
        <v>594</v>
      </c>
      <c r="B35" s="43" t="s">
        <v>583</v>
      </c>
      <c r="C35" s="11">
        <f>ROUND((16114/2+B17*233.58)*1.39,0)</f>
        <v>173537</v>
      </c>
      <c r="D35" s="11">
        <f t="shared" si="0"/>
        <v>173537</v>
      </c>
      <c r="E35" s="37">
        <f>IF(B10&gt;0,D35/B10,0)</f>
        <v>1.5704214148588649E-2</v>
      </c>
      <c r="F35" s="5" t="s">
        <v>595</v>
      </c>
    </row>
    <row r="36" spans="1:6" x14ac:dyDescent="0.25">
      <c r="A36" s="10" t="s">
        <v>596</v>
      </c>
      <c r="B36" s="43" t="s">
        <v>583</v>
      </c>
      <c r="C36" s="15">
        <v>80000</v>
      </c>
      <c r="D36" s="11">
        <f t="shared" si="0"/>
        <v>80000</v>
      </c>
      <c r="E36" s="37">
        <f>IF(B10&gt;0,D36/B10,0)</f>
        <v>7.2395923168378619E-3</v>
      </c>
      <c r="F36" s="5" t="s">
        <v>597</v>
      </c>
    </row>
    <row r="37" spans="1:6" x14ac:dyDescent="0.25">
      <c r="A37" s="10" t="s">
        <v>598</v>
      </c>
      <c r="B37" s="43" t="s">
        <v>583</v>
      </c>
      <c r="C37" s="15">
        <v>30000</v>
      </c>
      <c r="D37" s="11">
        <f t="shared" si="0"/>
        <v>30000</v>
      </c>
      <c r="E37" s="37">
        <f>IF(B10&gt;0,D37/B10,0)</f>
        <v>2.7148471188141983E-3</v>
      </c>
      <c r="F37" s="5" t="s">
        <v>599</v>
      </c>
    </row>
    <row r="38" spans="1:6" x14ac:dyDescent="0.25">
      <c r="A38" s="10" t="s">
        <v>600</v>
      </c>
      <c r="B38" s="43" t="s">
        <v>583</v>
      </c>
      <c r="C38" s="15">
        <v>25000</v>
      </c>
      <c r="D38" s="11">
        <f t="shared" si="0"/>
        <v>25000</v>
      </c>
      <c r="E38" s="37">
        <f>IF(B10&gt;0,D38/B10,0)</f>
        <v>2.2623725990118318E-3</v>
      </c>
      <c r="F38" s="5" t="s">
        <v>601</v>
      </c>
    </row>
    <row r="39" spans="1:6" x14ac:dyDescent="0.25">
      <c r="A39" s="10" t="s">
        <v>602</v>
      </c>
      <c r="B39" s="43" t="s">
        <v>583</v>
      </c>
      <c r="C39" s="15">
        <v>15000</v>
      </c>
      <c r="D39" s="11">
        <f t="shared" si="0"/>
        <v>15000</v>
      </c>
      <c r="E39" s="37">
        <f>IF(B10&gt;0,D39/B10,0)</f>
        <v>1.3574235594070992E-3</v>
      </c>
      <c r="F39" s="5" t="s">
        <v>603</v>
      </c>
    </row>
    <row r="40" spans="1:6" x14ac:dyDescent="0.25">
      <c r="A40" s="10" t="s">
        <v>604</v>
      </c>
      <c r="B40" s="43" t="s">
        <v>583</v>
      </c>
      <c r="C40" s="15">
        <v>15000</v>
      </c>
      <c r="D40" s="11">
        <f t="shared" si="0"/>
        <v>15000</v>
      </c>
      <c r="E40" s="37">
        <f>IF(B10&gt;0,D40/B10,0)</f>
        <v>1.3574235594070992E-3</v>
      </c>
      <c r="F40" s="5" t="s">
        <v>605</v>
      </c>
    </row>
    <row r="41" spans="1:6" x14ac:dyDescent="0.25">
      <c r="A41" s="10" t="s">
        <v>606</v>
      </c>
      <c r="B41" s="43" t="s">
        <v>583</v>
      </c>
      <c r="C41" s="15">
        <v>12000</v>
      </c>
      <c r="D41" s="11">
        <f t="shared" si="0"/>
        <v>12000</v>
      </c>
      <c r="E41" s="37">
        <f>IF(B10&gt;0,D41/B10,0)</f>
        <v>1.0859388475256792E-3</v>
      </c>
      <c r="F41" s="5" t="s">
        <v>607</v>
      </c>
    </row>
    <row r="42" spans="1:6" x14ac:dyDescent="0.25">
      <c r="A42" s="10" t="s">
        <v>608</v>
      </c>
      <c r="B42" s="43" t="s">
        <v>583</v>
      </c>
      <c r="C42" s="15">
        <v>8000</v>
      </c>
      <c r="D42" s="11">
        <f t="shared" si="0"/>
        <v>8000</v>
      </c>
      <c r="E42" s="37">
        <f>IF(B10&gt;0,D42/B10,0)</f>
        <v>7.2395923168378624E-4</v>
      </c>
      <c r="F42" s="5" t="s">
        <v>609</v>
      </c>
    </row>
    <row r="43" spans="1:6" x14ac:dyDescent="0.25">
      <c r="A43" s="12" t="s">
        <v>138</v>
      </c>
      <c r="B43" s="12"/>
      <c r="C43" s="13">
        <f>SUM(C28:C42)</f>
        <v>5923779</v>
      </c>
      <c r="D43" s="13">
        <f>SUM(D28:D42)</f>
        <v>5923779</v>
      </c>
      <c r="E43" s="40">
        <f>IF(B10&gt;0,D43/B10,0)</f>
        <v>0.53607181168806839</v>
      </c>
      <c r="F43" s="12" t="s">
        <v>610</v>
      </c>
    </row>
    <row r="45" spans="1:6" ht="15.75" x14ac:dyDescent="0.25">
      <c r="A45" s="47" t="s">
        <v>611</v>
      </c>
      <c r="B45" s="46"/>
      <c r="C45" s="46"/>
      <c r="D45" s="46"/>
      <c r="E45" s="46"/>
      <c r="F45" s="46"/>
    </row>
    <row r="46" spans="1:6" x14ac:dyDescent="0.25">
      <c r="A46" s="1" t="s">
        <v>3</v>
      </c>
      <c r="B46" s="1" t="s">
        <v>578</v>
      </c>
      <c r="C46" s="1" t="s">
        <v>509</v>
      </c>
      <c r="D46" s="1" t="s">
        <v>579</v>
      </c>
      <c r="E46" s="1" t="s">
        <v>580</v>
      </c>
      <c r="F46" s="1" t="s">
        <v>581</v>
      </c>
    </row>
    <row r="47" spans="1:6" x14ac:dyDescent="0.25">
      <c r="A47" s="10" t="s">
        <v>612</v>
      </c>
      <c r="B47" s="43" t="s">
        <v>583</v>
      </c>
      <c r="C47" s="11">
        <f>ROUND(B10*0.096427*B18,0)</f>
        <v>31967</v>
      </c>
      <c r="D47" s="11">
        <f t="shared" ref="D47:D53" si="1">IF(B47="SI",C47,0)</f>
        <v>31967</v>
      </c>
      <c r="E47" s="37">
        <f>IF(B10&gt;0,D47/B10,0)</f>
        <v>2.8928505949044492E-3</v>
      </c>
      <c r="F47" s="5" t="s">
        <v>613</v>
      </c>
    </row>
    <row r="48" spans="1:6" x14ac:dyDescent="0.25">
      <c r="A48" s="10" t="s">
        <v>614</v>
      </c>
      <c r="B48" s="43" t="s">
        <v>583</v>
      </c>
      <c r="C48" s="11">
        <f>ROUND(B10*0.327127*B19,0)</f>
        <v>43378</v>
      </c>
      <c r="D48" s="11">
        <f t="shared" si="1"/>
        <v>43378</v>
      </c>
      <c r="E48" s="37">
        <f>IF(B10&gt;0,D48/B10,0)</f>
        <v>3.9254879439974098E-3</v>
      </c>
      <c r="F48" s="5" t="s">
        <v>615</v>
      </c>
    </row>
    <row r="49" spans="1:6" x14ac:dyDescent="0.25">
      <c r="A49" s="10" t="s">
        <v>616</v>
      </c>
      <c r="B49" s="43" t="s">
        <v>583</v>
      </c>
      <c r="C49" s="11">
        <f>ROUND(B10*0.105788*B20,0)</f>
        <v>17535</v>
      </c>
      <c r="D49" s="11">
        <f t="shared" si="1"/>
        <v>17535</v>
      </c>
      <c r="E49" s="37">
        <f>IF(B10&gt;0,D49/B10,0)</f>
        <v>1.5868281409468989E-3</v>
      </c>
      <c r="F49" s="5" t="s">
        <v>617</v>
      </c>
    </row>
    <row r="50" spans="1:6" x14ac:dyDescent="0.25">
      <c r="A50" s="10" t="s">
        <v>618</v>
      </c>
      <c r="B50" s="43" t="s">
        <v>583</v>
      </c>
      <c r="C50" s="11">
        <f>ROUND(B10/1.21*B22,0)</f>
        <v>273976</v>
      </c>
      <c r="D50" s="11">
        <f t="shared" si="1"/>
        <v>273976</v>
      </c>
      <c r="E50" s="37">
        <f>IF(B10&gt;0,D50/B10,0)</f>
        <v>2.4793431807474627E-2</v>
      </c>
      <c r="F50" s="5" t="s">
        <v>619</v>
      </c>
    </row>
    <row r="51" spans="1:6" x14ac:dyDescent="0.25">
      <c r="A51" s="10" t="s">
        <v>620</v>
      </c>
      <c r="B51" s="43" t="s">
        <v>583</v>
      </c>
      <c r="C51" s="11">
        <f>ROUND(B10*0.529342*B23,0)</f>
        <v>70193</v>
      </c>
      <c r="D51" s="11">
        <f t="shared" si="1"/>
        <v>70193</v>
      </c>
      <c r="E51" s="37">
        <f>IF(B10&gt;0,D51/B10,0)</f>
        <v>6.3521087936975005E-3</v>
      </c>
      <c r="F51" s="5" t="s">
        <v>621</v>
      </c>
    </row>
    <row r="52" spans="1:6" x14ac:dyDescent="0.25">
      <c r="A52" s="10" t="s">
        <v>622</v>
      </c>
      <c r="B52" s="43" t="s">
        <v>583</v>
      </c>
      <c r="C52" s="11">
        <f>ROUND(B10*B24,0)</f>
        <v>552517</v>
      </c>
      <c r="D52" s="11">
        <f t="shared" si="1"/>
        <v>552517</v>
      </c>
      <c r="E52" s="37">
        <f>IF(B10&gt;0,D52/B10,0)</f>
        <v>4.9999972851528809E-2</v>
      </c>
      <c r="F52" s="5" t="s">
        <v>623</v>
      </c>
    </row>
    <row r="53" spans="1:6" x14ac:dyDescent="0.25">
      <c r="A53" s="10" t="s">
        <v>624</v>
      </c>
      <c r="B53" s="43" t="s">
        <v>583</v>
      </c>
      <c r="C53" s="11">
        <f>ROUND(B10*B21*2.928647/365,0)</f>
        <v>35466</v>
      </c>
      <c r="D53" s="11">
        <f t="shared" si="1"/>
        <v>35466</v>
      </c>
      <c r="E53" s="37">
        <f>IF(B10&gt;0,D53/B10,0)</f>
        <v>3.2094922638621452E-3</v>
      </c>
      <c r="F53" s="5" t="s">
        <v>625</v>
      </c>
    </row>
    <row r="54" spans="1:6" x14ac:dyDescent="0.25">
      <c r="A54" s="12" t="s">
        <v>184</v>
      </c>
      <c r="B54" s="12"/>
      <c r="C54" s="13">
        <f>SUM(C47:C53)</f>
        <v>1025032</v>
      </c>
      <c r="D54" s="13">
        <f>SUM(D47:D53)</f>
        <v>1025032</v>
      </c>
      <c r="E54" s="40">
        <f>IF(B10&gt;0,D54/B10,0)</f>
        <v>9.2760172396411836E-2</v>
      </c>
      <c r="F54" s="12" t="s">
        <v>610</v>
      </c>
    </row>
    <row r="56" spans="1:6" ht="15.75" x14ac:dyDescent="0.25">
      <c r="A56" s="47" t="s">
        <v>626</v>
      </c>
      <c r="B56" s="46"/>
      <c r="C56" s="46"/>
      <c r="D56" s="46"/>
      <c r="E56" s="46"/>
      <c r="F56" s="46"/>
    </row>
    <row r="57" spans="1:6" x14ac:dyDescent="0.25">
      <c r="A57" s="1" t="s">
        <v>3</v>
      </c>
      <c r="B57" s="1"/>
      <c r="C57" s="1" t="s">
        <v>509</v>
      </c>
      <c r="D57" s="1"/>
      <c r="E57" s="1" t="s">
        <v>5</v>
      </c>
      <c r="F57" s="1" t="s">
        <v>478</v>
      </c>
    </row>
    <row r="58" spans="1:6" x14ac:dyDescent="0.25">
      <c r="A58" s="16" t="s">
        <v>627</v>
      </c>
      <c r="B58" s="16"/>
      <c r="C58" s="17">
        <f>B10</f>
        <v>11050346</v>
      </c>
      <c r="D58" s="16"/>
      <c r="E58" s="16" t="s">
        <v>9</v>
      </c>
      <c r="F58" s="16" t="s">
        <v>628</v>
      </c>
    </row>
    <row r="59" spans="1:6" x14ac:dyDescent="0.25">
      <c r="A59" s="10" t="s">
        <v>629</v>
      </c>
      <c r="B59" s="10"/>
      <c r="C59" s="11">
        <f>ROUND(B10*(1-B11),0)</f>
        <v>7735242</v>
      </c>
      <c r="D59" s="10"/>
      <c r="E59" s="32">
        <f>IF(B10&gt;0,1-B11,0)</f>
        <v>0.7</v>
      </c>
      <c r="F59" s="10" t="s">
        <v>630</v>
      </c>
    </row>
    <row r="60" spans="1:6" x14ac:dyDescent="0.25">
      <c r="A60" s="2" t="s">
        <v>47</v>
      </c>
      <c r="B60" s="2"/>
      <c r="C60" s="3">
        <f>C58-C59</f>
        <v>3315104</v>
      </c>
      <c r="D60" s="2"/>
      <c r="E60" s="33">
        <f>IF(B10&gt;0,C60/C58,0)</f>
        <v>0.3000000180989808</v>
      </c>
      <c r="F60" s="2" t="s">
        <v>49</v>
      </c>
    </row>
    <row r="61" spans="1:6" x14ac:dyDescent="0.25">
      <c r="A61" s="10" t="s">
        <v>631</v>
      </c>
      <c r="B61" s="10"/>
      <c r="C61" s="11">
        <f>D43</f>
        <v>5923779</v>
      </c>
      <c r="D61" s="10"/>
      <c r="E61" s="32">
        <f>IF(B10&gt;0,C61/C58,0)</f>
        <v>0.53607181168806839</v>
      </c>
      <c r="F61" s="10" t="s">
        <v>632</v>
      </c>
    </row>
    <row r="62" spans="1:6" x14ac:dyDescent="0.25">
      <c r="A62" s="10" t="s">
        <v>633</v>
      </c>
      <c r="B62" s="10"/>
      <c r="C62" s="11">
        <f>D54</f>
        <v>1025032</v>
      </c>
      <c r="D62" s="10"/>
      <c r="E62" s="32">
        <f>IF(B10&gt;0,C62/C58,0)</f>
        <v>9.2760172396411836E-2</v>
      </c>
      <c r="F62" s="10" t="s">
        <v>632</v>
      </c>
    </row>
    <row r="63" spans="1:6" x14ac:dyDescent="0.25">
      <c r="A63" s="16" t="s">
        <v>191</v>
      </c>
      <c r="B63" s="16"/>
      <c r="C63" s="17">
        <f>C60-C61-C62</f>
        <v>-3633707</v>
      </c>
      <c r="D63" s="16"/>
      <c r="E63" s="38">
        <f>IF(B10&gt;0,C63/C58,0)</f>
        <v>-0.32883196598549946</v>
      </c>
      <c r="F63" s="16" t="s">
        <v>634</v>
      </c>
    </row>
    <row r="65" spans="1:6" x14ac:dyDescent="0.25">
      <c r="A65" s="16" t="s">
        <v>635</v>
      </c>
      <c r="B65" s="16"/>
      <c r="C65" s="17">
        <f>IF(B11-D54/B10&gt;0,D43/(B11-D54/B10),0)</f>
        <v>28584172.591241024</v>
      </c>
      <c r="D65" s="16"/>
      <c r="E65" s="16"/>
      <c r="F65" s="16" t="s">
        <v>636</v>
      </c>
    </row>
    <row r="66" spans="1:6" x14ac:dyDescent="0.25">
      <c r="A66" s="10" t="s">
        <v>637</v>
      </c>
      <c r="B66" s="10"/>
      <c r="C66" s="11">
        <f>B10</f>
        <v>11050346</v>
      </c>
      <c r="D66" s="10"/>
      <c r="E66" s="10"/>
      <c r="F66" s="10"/>
    </row>
    <row r="67" spans="1:6" x14ac:dyDescent="0.25">
      <c r="A67" s="16" t="s">
        <v>199</v>
      </c>
      <c r="B67" s="16"/>
      <c r="C67" s="44">
        <f>IF(C65&gt;0,C66/C65,0)</f>
        <v>0.38658967527316601</v>
      </c>
      <c r="D67" s="16"/>
      <c r="E67" s="16"/>
      <c r="F67" s="16" t="s">
        <v>638</v>
      </c>
    </row>
    <row r="69" spans="1:6" x14ac:dyDescent="0.25">
      <c r="A69" s="45" t="s">
        <v>639</v>
      </c>
      <c r="B69" s="46"/>
      <c r="C69" s="46"/>
      <c r="D69" s="46"/>
      <c r="E69" s="46"/>
      <c r="F69" s="46"/>
    </row>
    <row r="70" spans="1:6" x14ac:dyDescent="0.25">
      <c r="A70" s="45" t="s">
        <v>640</v>
      </c>
      <c r="B70" s="46"/>
      <c r="C70" s="46"/>
      <c r="D70" s="46"/>
      <c r="E70" s="46"/>
      <c r="F70" s="46"/>
    </row>
    <row r="71" spans="1:6" x14ac:dyDescent="0.25">
      <c r="A71" s="45" t="s">
        <v>641</v>
      </c>
      <c r="B71" s="46"/>
      <c r="C71" s="46"/>
      <c r="D71" s="46"/>
      <c r="E71" s="46"/>
      <c r="F71" s="46"/>
    </row>
    <row r="72" spans="1:6" x14ac:dyDescent="0.25">
      <c r="A72" s="45" t="s">
        <v>642</v>
      </c>
      <c r="B72" s="46"/>
      <c r="C72" s="46"/>
      <c r="D72" s="46"/>
      <c r="E72" s="46"/>
      <c r="F72" s="46"/>
    </row>
    <row r="73" spans="1:6" x14ac:dyDescent="0.25">
      <c r="A73" s="45" t="s">
        <v>643</v>
      </c>
      <c r="B73" s="46"/>
      <c r="C73" s="46"/>
      <c r="D73" s="46"/>
      <c r="E73" s="46"/>
      <c r="F73" s="46"/>
    </row>
  </sheetData>
  <mergeCells count="13">
    <mergeCell ref="A73:F73"/>
    <mergeCell ref="A2:F2"/>
    <mergeCell ref="A71:F71"/>
    <mergeCell ref="A1:F1"/>
    <mergeCell ref="A45:F45"/>
    <mergeCell ref="A9:F9"/>
    <mergeCell ref="A70:F70"/>
    <mergeCell ref="A56:F56"/>
    <mergeCell ref="A4:F4"/>
    <mergeCell ref="A26:F26"/>
    <mergeCell ref="A72:F72"/>
    <mergeCell ref="A69:F69"/>
    <mergeCell ref="A7:F7"/>
  </mergeCells>
  <conditionalFormatting sqref="C5">
    <cfRule type="cellIs" dxfId="5" priority="1" operator="lessThan">
      <formula>0</formula>
    </cfRule>
    <cfRule type="cellIs" dxfId="4" priority="2" operator="greaterThanOrEqual">
      <formula>0</formula>
    </cfRule>
  </conditionalFormatting>
  <conditionalFormatting sqref="C63">
    <cfRule type="cellIs" dxfId="3" priority="3" operator="lessThan">
      <formula>0</formula>
    </cfRule>
    <cfRule type="cellIs" dxfId="2" priority="4" operator="greaterThanOrEqual">
      <formula>0</formula>
    </cfRule>
  </conditionalFormatting>
  <conditionalFormatting sqref="C67">
    <cfRule type="cellIs" dxfId="1" priority="5" operator="lessThan">
      <formula>1</formula>
    </cfRule>
    <cfRule type="cellIs" dxfId="0" priority="6" operator="greaterThanOrEqual">
      <formula>1</formula>
    </cfRule>
  </conditionalFormatting>
  <dataValidations count="1">
    <dataValidation type="list" errorTitle="Valor invalido" error="Seleccionar SI o NO" sqref="B28 B29 B30 B31 B32 B33 B34 B35 B36 B37 B38 B39 B40 B41 B42 B47 B48 B49 B50 B51 B52 B53" xr:uid="{00000000-0002-0000-0600-000000000000}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18" customWidth="1"/>
    <col min="3" max="4" width="10" customWidth="1"/>
    <col min="5" max="5" width="14" customWidth="1"/>
    <col min="6" max="9" width="16" customWidth="1"/>
  </cols>
  <sheetData>
    <row r="1" spans="1:9" ht="18.75" x14ac:dyDescent="0.3">
      <c r="A1" s="48" t="s">
        <v>223</v>
      </c>
      <c r="B1" s="46"/>
      <c r="C1" s="46"/>
      <c r="D1" s="46"/>
      <c r="E1" s="46"/>
      <c r="F1" s="46"/>
      <c r="G1" s="46"/>
      <c r="H1" s="46"/>
      <c r="I1" s="46"/>
    </row>
    <row r="3" spans="1:9" x14ac:dyDescent="0.25">
      <c r="A3" s="1" t="s">
        <v>224</v>
      </c>
      <c r="B3" s="1" t="s">
        <v>225</v>
      </c>
      <c r="C3" s="1" t="s">
        <v>226</v>
      </c>
      <c r="D3" s="1" t="s">
        <v>227</v>
      </c>
      <c r="E3" s="1" t="s">
        <v>228</v>
      </c>
      <c r="F3" s="1" t="s">
        <v>229</v>
      </c>
      <c r="G3" s="1" t="s">
        <v>230</v>
      </c>
      <c r="H3" s="1" t="s">
        <v>231</v>
      </c>
      <c r="I3" s="1" t="s">
        <v>232</v>
      </c>
    </row>
    <row r="4" spans="1:9" x14ac:dyDescent="0.25">
      <c r="A4" s="10" t="s">
        <v>233</v>
      </c>
      <c r="B4" s="11">
        <v>7105249</v>
      </c>
      <c r="C4" s="11">
        <v>1169</v>
      </c>
      <c r="D4" s="11">
        <v>1072</v>
      </c>
      <c r="E4" s="11">
        <v>6078</v>
      </c>
      <c r="F4" s="11">
        <v>5341683</v>
      </c>
      <c r="G4" s="21">
        <v>0</v>
      </c>
      <c r="H4" s="11">
        <v>1763566</v>
      </c>
      <c r="I4" s="21">
        <v>0</v>
      </c>
    </row>
    <row r="5" spans="1:9" x14ac:dyDescent="0.25">
      <c r="A5" s="10" t="s">
        <v>234</v>
      </c>
      <c r="B5" s="11">
        <v>7662664</v>
      </c>
      <c r="C5" s="11">
        <v>1181</v>
      </c>
      <c r="D5" s="11">
        <v>1178</v>
      </c>
      <c r="E5" s="11">
        <v>6488</v>
      </c>
      <c r="F5" s="11">
        <v>5936779</v>
      </c>
      <c r="G5" s="21">
        <v>0</v>
      </c>
      <c r="H5" s="11">
        <v>1725885</v>
      </c>
      <c r="I5" s="21">
        <v>0</v>
      </c>
    </row>
    <row r="6" spans="1:9" x14ac:dyDescent="0.25">
      <c r="A6" s="10" t="s">
        <v>235</v>
      </c>
      <c r="B6" s="11">
        <v>11671590</v>
      </c>
      <c r="C6" s="11">
        <v>1351</v>
      </c>
      <c r="D6" s="11">
        <v>1486</v>
      </c>
      <c r="E6" s="11">
        <v>8639</v>
      </c>
      <c r="F6" s="11">
        <v>9444356</v>
      </c>
      <c r="G6" s="21">
        <v>0</v>
      </c>
      <c r="H6" s="11">
        <v>2227234</v>
      </c>
      <c r="I6" s="21">
        <v>0</v>
      </c>
    </row>
    <row r="7" spans="1:9" x14ac:dyDescent="0.25">
      <c r="A7" s="10" t="s">
        <v>236</v>
      </c>
      <c r="B7" s="11">
        <v>7840279</v>
      </c>
      <c r="C7" s="11">
        <v>1119</v>
      </c>
      <c r="D7" s="11">
        <v>1101</v>
      </c>
      <c r="E7" s="11">
        <v>7007</v>
      </c>
      <c r="F7" s="11">
        <v>2061581</v>
      </c>
      <c r="G7" s="11">
        <v>2399581</v>
      </c>
      <c r="H7" s="11">
        <v>1883895</v>
      </c>
      <c r="I7" s="11">
        <v>1495222</v>
      </c>
    </row>
    <row r="8" spans="1:9" x14ac:dyDescent="0.25">
      <c r="A8" s="10" t="s">
        <v>237</v>
      </c>
      <c r="B8" s="11">
        <v>8650219</v>
      </c>
      <c r="C8" s="11">
        <v>1162</v>
      </c>
      <c r="D8" s="11">
        <v>1341</v>
      </c>
      <c r="E8" s="11">
        <v>7444</v>
      </c>
      <c r="F8" s="11">
        <v>2096403</v>
      </c>
      <c r="G8" s="11">
        <v>2632139</v>
      </c>
      <c r="H8" s="11">
        <v>2116531</v>
      </c>
      <c r="I8" s="11">
        <v>1805146</v>
      </c>
    </row>
    <row r="9" spans="1:9" x14ac:dyDescent="0.25">
      <c r="A9" s="10" t="s">
        <v>238</v>
      </c>
      <c r="B9" s="11">
        <v>9908083</v>
      </c>
      <c r="C9" s="11">
        <v>1229</v>
      </c>
      <c r="D9" s="11">
        <v>1327</v>
      </c>
      <c r="E9" s="11">
        <v>8062</v>
      </c>
      <c r="F9" s="11">
        <v>2239398</v>
      </c>
      <c r="G9" s="11">
        <v>2891471</v>
      </c>
      <c r="H9" s="11">
        <v>2544396</v>
      </c>
      <c r="I9" s="11">
        <v>2232819</v>
      </c>
    </row>
    <row r="10" spans="1:9" x14ac:dyDescent="0.25">
      <c r="A10" s="10" t="s">
        <v>239</v>
      </c>
      <c r="B10" s="11">
        <v>8768678</v>
      </c>
      <c r="C10" s="11">
        <v>1152</v>
      </c>
      <c r="D10" s="11">
        <v>1339</v>
      </c>
      <c r="E10" s="11">
        <v>7612</v>
      </c>
      <c r="F10" s="11">
        <v>2132595</v>
      </c>
      <c r="G10" s="11">
        <v>3171676</v>
      </c>
      <c r="H10" s="11">
        <v>1902028</v>
      </c>
      <c r="I10" s="11">
        <v>1562378</v>
      </c>
    </row>
    <row r="11" spans="1:9" x14ac:dyDescent="0.25">
      <c r="A11" s="10" t="s">
        <v>240</v>
      </c>
      <c r="B11" s="11">
        <v>9258032</v>
      </c>
      <c r="C11" s="11">
        <v>1151</v>
      </c>
      <c r="D11" s="11">
        <v>1253</v>
      </c>
      <c r="E11" s="11">
        <v>8043</v>
      </c>
      <c r="F11" s="11">
        <v>2054234</v>
      </c>
      <c r="G11" s="11">
        <v>3219377</v>
      </c>
      <c r="H11" s="11">
        <v>2317220</v>
      </c>
      <c r="I11" s="11">
        <v>1667202</v>
      </c>
    </row>
    <row r="12" spans="1:9" x14ac:dyDescent="0.25">
      <c r="A12" s="10" t="s">
        <v>241</v>
      </c>
      <c r="B12" s="11">
        <v>8543948</v>
      </c>
      <c r="C12" s="11">
        <v>1134</v>
      </c>
      <c r="D12" s="11">
        <v>1079</v>
      </c>
      <c r="E12" s="11">
        <v>7534</v>
      </c>
      <c r="F12" s="11">
        <v>2159884</v>
      </c>
      <c r="G12" s="11">
        <v>2985806</v>
      </c>
      <c r="H12" s="11">
        <v>1945272</v>
      </c>
      <c r="I12" s="11">
        <v>1452986</v>
      </c>
    </row>
    <row r="13" spans="1:9" x14ac:dyDescent="0.25">
      <c r="A13" s="10" t="s">
        <v>242</v>
      </c>
      <c r="B13" s="11">
        <v>8845417</v>
      </c>
      <c r="C13" s="11">
        <v>1118</v>
      </c>
      <c r="D13" s="11">
        <v>1106</v>
      </c>
      <c r="E13" s="11">
        <v>7912</v>
      </c>
      <c r="F13" s="11">
        <v>2082735</v>
      </c>
      <c r="G13" s="11">
        <v>2985305</v>
      </c>
      <c r="H13" s="11">
        <v>2031118</v>
      </c>
      <c r="I13" s="11">
        <v>1746258</v>
      </c>
    </row>
    <row r="14" spans="1:9" x14ac:dyDescent="0.25">
      <c r="A14" s="10" t="s">
        <v>243</v>
      </c>
      <c r="B14" s="11">
        <v>9434153</v>
      </c>
      <c r="C14" s="11">
        <v>1179</v>
      </c>
      <c r="D14" s="11">
        <v>1219</v>
      </c>
      <c r="E14" s="11">
        <v>8002</v>
      </c>
      <c r="F14" s="11">
        <v>2444503</v>
      </c>
      <c r="G14" s="11">
        <v>3241314</v>
      </c>
      <c r="H14" s="11">
        <v>1968376</v>
      </c>
      <c r="I14" s="11">
        <v>1779960</v>
      </c>
    </row>
    <row r="15" spans="1:9" x14ac:dyDescent="0.25">
      <c r="A15" s="10" t="s">
        <v>244</v>
      </c>
      <c r="B15" s="11">
        <v>8229173</v>
      </c>
      <c r="C15" s="11">
        <v>1136</v>
      </c>
      <c r="D15" s="11">
        <v>1053</v>
      </c>
      <c r="E15" s="11">
        <v>7244</v>
      </c>
      <c r="F15" s="11">
        <v>2084794</v>
      </c>
      <c r="G15" s="11">
        <v>2554151</v>
      </c>
      <c r="H15" s="11">
        <v>1899723</v>
      </c>
      <c r="I15" s="11">
        <v>1690505</v>
      </c>
    </row>
    <row r="16" spans="1:9" x14ac:dyDescent="0.25">
      <c r="A16" s="10" t="s">
        <v>245</v>
      </c>
      <c r="B16" s="11">
        <v>2732094</v>
      </c>
      <c r="C16" s="11">
        <v>329</v>
      </c>
      <c r="D16" s="11">
        <v>302</v>
      </c>
      <c r="E16" s="11">
        <v>8304</v>
      </c>
      <c r="F16" s="11">
        <v>1219290</v>
      </c>
      <c r="G16" s="11">
        <v>742553</v>
      </c>
      <c r="H16" s="11">
        <v>494054</v>
      </c>
      <c r="I16" s="11">
        <v>276196</v>
      </c>
    </row>
    <row r="17" spans="1:9" x14ac:dyDescent="0.25">
      <c r="A17" s="10" t="s">
        <v>246</v>
      </c>
      <c r="B17" s="11">
        <v>5707462</v>
      </c>
      <c r="C17" s="11">
        <v>703</v>
      </c>
      <c r="D17" s="11">
        <v>699</v>
      </c>
      <c r="E17" s="11">
        <v>8119</v>
      </c>
      <c r="F17" s="11">
        <v>2642062</v>
      </c>
      <c r="G17" s="11">
        <v>1578490</v>
      </c>
      <c r="H17" s="11">
        <v>1486911</v>
      </c>
      <c r="I17" s="21">
        <v>0</v>
      </c>
    </row>
    <row r="18" spans="1:9" x14ac:dyDescent="0.25">
      <c r="A18" s="10" t="s">
        <v>247</v>
      </c>
      <c r="B18" s="11">
        <v>15516515</v>
      </c>
      <c r="C18" s="11">
        <v>1276</v>
      </c>
      <c r="D18" s="11">
        <v>1416</v>
      </c>
      <c r="E18" s="11">
        <v>12160</v>
      </c>
      <c r="F18" s="11">
        <v>7321766</v>
      </c>
      <c r="G18" s="11">
        <v>5084330</v>
      </c>
      <c r="H18" s="11">
        <v>3110419</v>
      </c>
      <c r="I18" s="21">
        <v>0</v>
      </c>
    </row>
    <row r="19" spans="1:9" x14ac:dyDescent="0.25">
      <c r="A19" s="10" t="s">
        <v>248</v>
      </c>
      <c r="B19" s="11">
        <v>9883256</v>
      </c>
      <c r="C19" s="11">
        <v>1153</v>
      </c>
      <c r="D19" s="11">
        <v>1329</v>
      </c>
      <c r="E19" s="11">
        <v>8572</v>
      </c>
      <c r="F19" s="11">
        <v>4615765</v>
      </c>
      <c r="G19" s="11">
        <v>3125935</v>
      </c>
      <c r="H19" s="11">
        <v>264028</v>
      </c>
      <c r="I19" s="21">
        <v>0</v>
      </c>
    </row>
    <row r="20" spans="1:9" x14ac:dyDescent="0.25">
      <c r="A20" s="10" t="s">
        <v>249</v>
      </c>
      <c r="B20" s="11">
        <v>9594977</v>
      </c>
      <c r="C20" s="11">
        <v>1049</v>
      </c>
      <c r="D20" s="11">
        <v>1219</v>
      </c>
      <c r="E20" s="11">
        <v>9147</v>
      </c>
      <c r="F20" s="11">
        <v>4533022</v>
      </c>
      <c r="G20" s="11">
        <v>3237470</v>
      </c>
      <c r="H20" s="21">
        <v>0</v>
      </c>
      <c r="I20" s="21">
        <v>0</v>
      </c>
    </row>
    <row r="21" spans="1:9" x14ac:dyDescent="0.25">
      <c r="A21" s="10" t="s">
        <v>250</v>
      </c>
      <c r="B21" s="11">
        <v>6745218</v>
      </c>
      <c r="C21" s="11">
        <v>666</v>
      </c>
      <c r="D21" s="11">
        <v>750</v>
      </c>
      <c r="E21" s="11">
        <v>10128</v>
      </c>
      <c r="F21" s="11">
        <v>3319368</v>
      </c>
      <c r="G21" s="11">
        <v>1883254</v>
      </c>
      <c r="H21" s="21">
        <v>0</v>
      </c>
      <c r="I21" s="21">
        <v>0</v>
      </c>
    </row>
    <row r="23" spans="1:9" x14ac:dyDescent="0.25">
      <c r="A23" s="2" t="s">
        <v>251</v>
      </c>
      <c r="B23" s="3">
        <v>156097009</v>
      </c>
      <c r="C23" s="3">
        <v>19257</v>
      </c>
      <c r="D23" s="3">
        <v>20270</v>
      </c>
      <c r="E23" s="2"/>
      <c r="F23" s="2"/>
      <c r="G23" s="2"/>
      <c r="H23" s="2"/>
      <c r="I23" s="2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9"/>
  <sheetViews>
    <sheetView showGridLines="0" workbookViewId="0"/>
  </sheetViews>
  <sheetFormatPr baseColWidth="10" defaultColWidth="9.140625" defaultRowHeight="15" x14ac:dyDescent="0.25"/>
  <cols>
    <col min="1" max="1" width="45" customWidth="1"/>
    <col min="2" max="2" width="18" customWidth="1"/>
    <col min="3" max="3" width="12" customWidth="1"/>
    <col min="4" max="4" width="14" customWidth="1"/>
    <col min="5" max="6" width="10" customWidth="1"/>
  </cols>
  <sheetData>
    <row r="1" spans="1:6" ht="18.75" x14ac:dyDescent="0.3">
      <c r="A1" s="48" t="s">
        <v>252</v>
      </c>
      <c r="B1" s="46"/>
      <c r="C1" s="46"/>
      <c r="D1" s="46"/>
      <c r="E1" s="46"/>
      <c r="F1" s="46"/>
    </row>
    <row r="3" spans="1:6" x14ac:dyDescent="0.25">
      <c r="A3" s="1" t="s">
        <v>253</v>
      </c>
      <c r="B3" s="1" t="s">
        <v>225</v>
      </c>
      <c r="C3" s="1" t="s">
        <v>254</v>
      </c>
      <c r="D3" s="1" t="s">
        <v>255</v>
      </c>
      <c r="E3" s="1" t="s">
        <v>256</v>
      </c>
      <c r="F3" s="1" t="s">
        <v>257</v>
      </c>
    </row>
    <row r="4" spans="1:6" x14ac:dyDescent="0.25">
      <c r="A4" s="22" t="s">
        <v>258</v>
      </c>
      <c r="B4" s="23">
        <v>21848114</v>
      </c>
      <c r="C4" s="23">
        <v>248</v>
      </c>
      <c r="D4" s="23">
        <v>35085</v>
      </c>
      <c r="E4" s="23">
        <v>14</v>
      </c>
      <c r="F4" s="23">
        <v>14</v>
      </c>
    </row>
    <row r="5" spans="1:6" x14ac:dyDescent="0.25">
      <c r="A5" s="22" t="s">
        <v>259</v>
      </c>
      <c r="B5" s="23">
        <v>21267910</v>
      </c>
      <c r="C5" s="23">
        <v>2520</v>
      </c>
      <c r="D5" s="23">
        <v>8343</v>
      </c>
      <c r="E5" s="23">
        <v>13.6</v>
      </c>
      <c r="F5" s="23">
        <v>27.6</v>
      </c>
    </row>
    <row r="6" spans="1:6" x14ac:dyDescent="0.25">
      <c r="A6" s="22" t="s">
        <v>260</v>
      </c>
      <c r="B6" s="23">
        <v>18840000</v>
      </c>
      <c r="C6" s="23">
        <v>4367</v>
      </c>
      <c r="D6" s="23">
        <v>4292</v>
      </c>
      <c r="E6" s="23">
        <v>12.1</v>
      </c>
      <c r="F6" s="23">
        <v>39.700000000000003</v>
      </c>
    </row>
    <row r="7" spans="1:6" x14ac:dyDescent="0.25">
      <c r="A7" s="22" t="s">
        <v>261</v>
      </c>
      <c r="B7" s="23">
        <v>8315100</v>
      </c>
      <c r="C7" s="23">
        <v>1937</v>
      </c>
      <c r="D7" s="23">
        <v>4270</v>
      </c>
      <c r="E7" s="23">
        <v>5.3</v>
      </c>
      <c r="F7" s="23">
        <v>45</v>
      </c>
    </row>
    <row r="8" spans="1:6" x14ac:dyDescent="0.25">
      <c r="A8" s="22" t="s">
        <v>262</v>
      </c>
      <c r="B8" s="23">
        <v>7180250</v>
      </c>
      <c r="C8" s="23">
        <v>1657</v>
      </c>
      <c r="D8" s="23">
        <v>4321</v>
      </c>
      <c r="E8" s="23">
        <v>4.5999999999999996</v>
      </c>
      <c r="F8" s="23">
        <v>49.6</v>
      </c>
    </row>
    <row r="9" spans="1:6" x14ac:dyDescent="0.25">
      <c r="A9" s="22" t="s">
        <v>263</v>
      </c>
      <c r="B9" s="23">
        <v>4547066</v>
      </c>
      <c r="C9" s="24">
        <v>54</v>
      </c>
      <c r="D9" s="23">
        <v>16005</v>
      </c>
      <c r="E9" s="23">
        <v>2.9</v>
      </c>
      <c r="F9" s="23">
        <v>52.5</v>
      </c>
    </row>
    <row r="10" spans="1:6" x14ac:dyDescent="0.25">
      <c r="A10" s="22" t="s">
        <v>264</v>
      </c>
      <c r="B10" s="23">
        <v>4231800</v>
      </c>
      <c r="C10" s="23">
        <v>494</v>
      </c>
      <c r="D10" s="23">
        <v>8528</v>
      </c>
      <c r="E10" s="23">
        <v>2.7</v>
      </c>
      <c r="F10" s="23">
        <v>55.2</v>
      </c>
    </row>
    <row r="11" spans="1:6" x14ac:dyDescent="0.25">
      <c r="A11" s="22" t="s">
        <v>265</v>
      </c>
      <c r="B11" s="23">
        <v>4124850</v>
      </c>
      <c r="C11" s="23">
        <v>965</v>
      </c>
      <c r="D11" s="23">
        <v>4257</v>
      </c>
      <c r="E11" s="23">
        <v>2.6</v>
      </c>
      <c r="F11" s="23">
        <v>57.9</v>
      </c>
    </row>
    <row r="12" spans="1:6" x14ac:dyDescent="0.25">
      <c r="A12" s="22" t="s">
        <v>266</v>
      </c>
      <c r="B12" s="23">
        <v>3978000</v>
      </c>
      <c r="C12" s="23">
        <v>936</v>
      </c>
      <c r="D12" s="23">
        <v>4241</v>
      </c>
      <c r="E12" s="23">
        <v>2.5</v>
      </c>
      <c r="F12" s="23">
        <v>60.4</v>
      </c>
    </row>
    <row r="13" spans="1:6" x14ac:dyDescent="0.25">
      <c r="A13" s="22" t="s">
        <v>267</v>
      </c>
      <c r="B13" s="23">
        <v>3952006</v>
      </c>
      <c r="C13" s="24">
        <v>66</v>
      </c>
      <c r="D13" s="23">
        <v>22047</v>
      </c>
      <c r="E13" s="23">
        <v>2.5</v>
      </c>
      <c r="F13" s="23">
        <v>63</v>
      </c>
    </row>
    <row r="14" spans="1:6" x14ac:dyDescent="0.25">
      <c r="A14" s="22" t="s">
        <v>268</v>
      </c>
      <c r="B14" s="23">
        <v>3599100</v>
      </c>
      <c r="C14" s="23">
        <v>446</v>
      </c>
      <c r="D14" s="23">
        <v>7997</v>
      </c>
      <c r="E14" s="23">
        <v>2.2999999999999998</v>
      </c>
      <c r="F14" s="23">
        <v>65.3</v>
      </c>
    </row>
    <row r="15" spans="1:6" x14ac:dyDescent="0.25">
      <c r="A15" s="22" t="s">
        <v>269</v>
      </c>
      <c r="B15" s="23">
        <v>3584500</v>
      </c>
      <c r="C15" s="23">
        <v>834</v>
      </c>
      <c r="D15" s="23">
        <v>4262</v>
      </c>
      <c r="E15" s="23">
        <v>2.2999999999999998</v>
      </c>
      <c r="F15" s="23">
        <v>67.599999999999994</v>
      </c>
    </row>
    <row r="16" spans="1:6" x14ac:dyDescent="0.25">
      <c r="A16" s="22" t="s">
        <v>270</v>
      </c>
      <c r="B16" s="23">
        <v>3516596</v>
      </c>
      <c r="C16" s="24">
        <v>72</v>
      </c>
      <c r="D16" s="23">
        <v>23536</v>
      </c>
      <c r="E16" s="23">
        <v>2.2999999999999998</v>
      </c>
      <c r="F16" s="23">
        <v>69.8</v>
      </c>
    </row>
    <row r="17" spans="1:6" x14ac:dyDescent="0.25">
      <c r="A17" s="22" t="s">
        <v>271</v>
      </c>
      <c r="B17" s="23">
        <v>3500210</v>
      </c>
      <c r="C17" s="23">
        <v>421</v>
      </c>
      <c r="D17" s="23">
        <v>10984</v>
      </c>
      <c r="E17" s="23">
        <v>2.2000000000000002</v>
      </c>
      <c r="F17" s="23">
        <v>72.099999999999994</v>
      </c>
    </row>
    <row r="18" spans="1:6" x14ac:dyDescent="0.25">
      <c r="A18" s="22" t="s">
        <v>272</v>
      </c>
      <c r="B18" s="23">
        <v>3428000</v>
      </c>
      <c r="C18" s="23">
        <v>540</v>
      </c>
      <c r="D18" s="23">
        <v>6308</v>
      </c>
      <c r="E18" s="23">
        <v>2.2000000000000002</v>
      </c>
      <c r="F18" s="23">
        <v>74.3</v>
      </c>
    </row>
    <row r="19" spans="1:6" x14ac:dyDescent="0.25">
      <c r="A19" s="22" t="s">
        <v>273</v>
      </c>
      <c r="B19" s="23">
        <v>3291113</v>
      </c>
      <c r="C19" s="23">
        <v>476</v>
      </c>
      <c r="D19" s="23">
        <v>7335</v>
      </c>
      <c r="E19" s="23">
        <v>2.1</v>
      </c>
      <c r="F19" s="23">
        <v>76.400000000000006</v>
      </c>
    </row>
    <row r="20" spans="1:6" x14ac:dyDescent="0.25">
      <c r="A20" s="22" t="s">
        <v>274</v>
      </c>
      <c r="B20" s="23">
        <v>3003880</v>
      </c>
      <c r="C20" s="23">
        <v>680</v>
      </c>
      <c r="D20" s="23">
        <v>4366</v>
      </c>
      <c r="E20" s="23">
        <v>1.9</v>
      </c>
      <c r="F20" s="23">
        <v>78.3</v>
      </c>
    </row>
    <row r="21" spans="1:6" x14ac:dyDescent="0.25">
      <c r="A21" s="14" t="s">
        <v>275</v>
      </c>
      <c r="B21" s="15">
        <v>2985400</v>
      </c>
      <c r="C21" s="15">
        <v>353</v>
      </c>
      <c r="D21" s="15">
        <v>8475</v>
      </c>
      <c r="E21" s="15">
        <v>1.9</v>
      </c>
      <c r="F21" s="15">
        <v>80.2</v>
      </c>
    </row>
    <row r="22" spans="1:6" x14ac:dyDescent="0.25">
      <c r="A22" s="14" t="s">
        <v>276</v>
      </c>
      <c r="B22" s="15">
        <v>2909900</v>
      </c>
      <c r="C22" s="15">
        <v>670</v>
      </c>
      <c r="D22" s="15">
        <v>4317</v>
      </c>
      <c r="E22" s="15">
        <v>1.9</v>
      </c>
      <c r="F22" s="15">
        <v>82.1</v>
      </c>
    </row>
    <row r="23" spans="1:6" x14ac:dyDescent="0.25">
      <c r="A23" s="14" t="s">
        <v>277</v>
      </c>
      <c r="B23" s="15">
        <v>2737178</v>
      </c>
      <c r="C23" s="25">
        <v>83</v>
      </c>
      <c r="D23" s="15">
        <v>7284</v>
      </c>
      <c r="E23" s="15">
        <v>1.8</v>
      </c>
      <c r="F23" s="15">
        <v>83.8</v>
      </c>
    </row>
    <row r="24" spans="1:6" x14ac:dyDescent="0.25">
      <c r="A24" s="14" t="s">
        <v>278</v>
      </c>
      <c r="B24" s="15">
        <v>2646077</v>
      </c>
      <c r="C24" s="25">
        <v>76</v>
      </c>
      <c r="D24" s="15">
        <v>7533</v>
      </c>
      <c r="E24" s="15">
        <v>1.7</v>
      </c>
      <c r="F24" s="15">
        <v>85.5</v>
      </c>
    </row>
    <row r="25" spans="1:6" x14ac:dyDescent="0.25">
      <c r="A25" s="14" t="s">
        <v>279</v>
      </c>
      <c r="B25" s="15">
        <v>2565688</v>
      </c>
      <c r="C25" s="15">
        <v>161</v>
      </c>
      <c r="D25" s="15">
        <v>4397</v>
      </c>
      <c r="E25" s="15">
        <v>1.6</v>
      </c>
      <c r="F25" s="15">
        <v>87.2</v>
      </c>
    </row>
    <row r="26" spans="1:6" x14ac:dyDescent="0.25">
      <c r="A26" s="14" t="s">
        <v>280</v>
      </c>
      <c r="B26" s="15">
        <v>2369794</v>
      </c>
      <c r="C26" s="15">
        <v>224</v>
      </c>
      <c r="D26" s="15">
        <v>4224</v>
      </c>
      <c r="E26" s="15">
        <v>1.5</v>
      </c>
      <c r="F26" s="15">
        <v>88.7</v>
      </c>
    </row>
    <row r="27" spans="1:6" x14ac:dyDescent="0.25">
      <c r="A27" s="14" t="s">
        <v>281</v>
      </c>
      <c r="B27" s="15">
        <v>2348123</v>
      </c>
      <c r="C27" s="15">
        <v>112</v>
      </c>
      <c r="D27" s="15">
        <v>20965</v>
      </c>
      <c r="E27" s="15">
        <v>1.5</v>
      </c>
      <c r="F27" s="15">
        <v>90.2</v>
      </c>
    </row>
    <row r="28" spans="1:6" x14ac:dyDescent="0.25">
      <c r="A28" s="14" t="s">
        <v>282</v>
      </c>
      <c r="B28" s="15">
        <v>1409643</v>
      </c>
      <c r="C28" s="15">
        <v>284</v>
      </c>
      <c r="D28" s="15">
        <v>7172</v>
      </c>
      <c r="E28" s="15">
        <v>0.9</v>
      </c>
      <c r="F28" s="15">
        <v>91.1</v>
      </c>
    </row>
    <row r="29" spans="1:6" x14ac:dyDescent="0.25">
      <c r="A29" s="14" t="s">
        <v>283</v>
      </c>
      <c r="B29" s="15">
        <v>1396833</v>
      </c>
      <c r="C29" s="15">
        <v>169</v>
      </c>
      <c r="D29" s="15">
        <v>10788</v>
      </c>
      <c r="E29" s="15">
        <v>0.9</v>
      </c>
      <c r="F29" s="15">
        <v>92</v>
      </c>
    </row>
    <row r="30" spans="1:6" x14ac:dyDescent="0.25">
      <c r="A30" s="14" t="s">
        <v>284</v>
      </c>
      <c r="B30" s="15">
        <v>1375350</v>
      </c>
      <c r="C30" s="15">
        <v>282</v>
      </c>
      <c r="D30" s="15">
        <v>4877</v>
      </c>
      <c r="E30" s="15">
        <v>0.9</v>
      </c>
      <c r="F30" s="15">
        <v>92.9</v>
      </c>
    </row>
    <row r="31" spans="1:6" x14ac:dyDescent="0.25">
      <c r="A31" s="14" t="s">
        <v>285</v>
      </c>
      <c r="B31" s="15">
        <v>1345642</v>
      </c>
      <c r="C31" s="25">
        <v>44</v>
      </c>
      <c r="D31" s="15">
        <v>8168</v>
      </c>
      <c r="E31" s="15">
        <v>0.9</v>
      </c>
      <c r="F31" s="15">
        <v>93.7</v>
      </c>
    </row>
    <row r="32" spans="1:6" x14ac:dyDescent="0.25">
      <c r="A32" s="14" t="s">
        <v>286</v>
      </c>
      <c r="B32" s="15">
        <v>1296900</v>
      </c>
      <c r="C32" s="25">
        <v>22</v>
      </c>
      <c r="D32" s="15">
        <v>44907</v>
      </c>
      <c r="E32" s="15">
        <v>0.8</v>
      </c>
      <c r="F32" s="15">
        <v>94.6</v>
      </c>
    </row>
    <row r="33" spans="1:6" x14ac:dyDescent="0.25">
      <c r="A33" s="10" t="s">
        <v>287</v>
      </c>
      <c r="B33" s="11">
        <v>1292645</v>
      </c>
      <c r="C33" s="21">
        <v>24</v>
      </c>
      <c r="D33" s="11">
        <v>8735</v>
      </c>
      <c r="E33" s="11">
        <v>0.8</v>
      </c>
      <c r="F33" s="11">
        <v>95.4</v>
      </c>
    </row>
    <row r="34" spans="1:6" x14ac:dyDescent="0.25">
      <c r="A34" s="10" t="s">
        <v>288</v>
      </c>
      <c r="B34" s="11">
        <v>1241353</v>
      </c>
      <c r="C34" s="11">
        <v>145</v>
      </c>
      <c r="D34" s="11">
        <v>11069</v>
      </c>
      <c r="E34" s="11">
        <v>0.8</v>
      </c>
      <c r="F34" s="11">
        <v>96.2</v>
      </c>
    </row>
    <row r="35" spans="1:6" x14ac:dyDescent="0.25">
      <c r="A35" s="10" t="s">
        <v>289</v>
      </c>
      <c r="B35" s="11">
        <v>1189200</v>
      </c>
      <c r="C35" s="21">
        <v>92</v>
      </c>
      <c r="D35" s="11">
        <v>12651</v>
      </c>
      <c r="E35" s="11">
        <v>0.8</v>
      </c>
      <c r="F35" s="11">
        <v>96.9</v>
      </c>
    </row>
    <row r="36" spans="1:6" x14ac:dyDescent="0.25">
      <c r="A36" s="10" t="s">
        <v>290</v>
      </c>
      <c r="B36" s="11">
        <v>829000</v>
      </c>
      <c r="C36" s="11">
        <v>104</v>
      </c>
      <c r="D36" s="11">
        <v>8044</v>
      </c>
      <c r="E36" s="11">
        <v>0.5</v>
      </c>
      <c r="F36" s="11">
        <v>97.5</v>
      </c>
    </row>
    <row r="37" spans="1:6" x14ac:dyDescent="0.25">
      <c r="A37" s="10" t="s">
        <v>291</v>
      </c>
      <c r="B37" s="11">
        <v>626764</v>
      </c>
      <c r="C37" s="21">
        <v>25</v>
      </c>
      <c r="D37" s="11">
        <v>5323</v>
      </c>
      <c r="E37" s="11">
        <v>0.4</v>
      </c>
      <c r="F37" s="11">
        <v>97.9</v>
      </c>
    </row>
    <row r="38" spans="1:6" x14ac:dyDescent="0.25">
      <c r="A38" s="10" t="s">
        <v>292</v>
      </c>
      <c r="B38" s="11">
        <v>606344</v>
      </c>
      <c r="C38" s="21">
        <v>7</v>
      </c>
      <c r="D38" s="11">
        <v>8557</v>
      </c>
      <c r="E38" s="11">
        <v>0.4</v>
      </c>
      <c r="F38" s="11">
        <v>98.3</v>
      </c>
    </row>
    <row r="39" spans="1:6" x14ac:dyDescent="0.25">
      <c r="A39" s="10" t="s">
        <v>293</v>
      </c>
      <c r="B39" s="11">
        <v>455800</v>
      </c>
      <c r="C39" s="21">
        <v>58</v>
      </c>
      <c r="D39" s="11">
        <v>7880</v>
      </c>
      <c r="E39" s="11">
        <v>0.3</v>
      </c>
      <c r="F39" s="11">
        <v>98.6</v>
      </c>
    </row>
    <row r="40" spans="1:6" x14ac:dyDescent="0.25">
      <c r="A40" s="10" t="s">
        <v>294</v>
      </c>
      <c r="B40" s="11">
        <v>289900</v>
      </c>
      <c r="C40" s="21">
        <v>35</v>
      </c>
      <c r="D40" s="11">
        <v>8267</v>
      </c>
      <c r="E40" s="11">
        <v>0.2</v>
      </c>
      <c r="F40" s="11">
        <v>98.7</v>
      </c>
    </row>
    <row r="41" spans="1:6" x14ac:dyDescent="0.25">
      <c r="A41" s="10" t="s">
        <v>295</v>
      </c>
      <c r="B41" s="11">
        <v>188480</v>
      </c>
      <c r="C41" s="21">
        <v>11</v>
      </c>
      <c r="D41" s="11">
        <v>4317</v>
      </c>
      <c r="E41" s="11">
        <v>0.1</v>
      </c>
      <c r="F41" s="11">
        <v>98.9</v>
      </c>
    </row>
    <row r="42" spans="1:6" x14ac:dyDescent="0.25">
      <c r="A42" s="10" t="s">
        <v>296</v>
      </c>
      <c r="B42" s="11">
        <v>180350</v>
      </c>
      <c r="C42" s="21">
        <v>46</v>
      </c>
      <c r="D42" s="11">
        <v>3972</v>
      </c>
      <c r="E42" s="11">
        <v>0.1</v>
      </c>
      <c r="F42" s="11">
        <v>99</v>
      </c>
    </row>
    <row r="43" spans="1:6" x14ac:dyDescent="0.25">
      <c r="A43" s="10" t="s">
        <v>297</v>
      </c>
      <c r="B43" s="11">
        <v>170540</v>
      </c>
      <c r="C43" s="21">
        <v>37</v>
      </c>
      <c r="D43" s="11">
        <v>4632</v>
      </c>
      <c r="E43" s="11">
        <v>0.1</v>
      </c>
      <c r="F43" s="11">
        <v>99.1</v>
      </c>
    </row>
    <row r="44" spans="1:6" x14ac:dyDescent="0.25">
      <c r="A44" s="10" t="s">
        <v>298</v>
      </c>
      <c r="B44" s="11">
        <v>159150</v>
      </c>
      <c r="C44" s="21">
        <v>12</v>
      </c>
      <c r="D44" s="11">
        <v>13262</v>
      </c>
      <c r="E44" s="11">
        <v>0.1</v>
      </c>
      <c r="F44" s="11">
        <v>99.2</v>
      </c>
    </row>
    <row r="45" spans="1:6" x14ac:dyDescent="0.25">
      <c r="A45" s="10" t="s">
        <v>299</v>
      </c>
      <c r="B45" s="11">
        <v>128100</v>
      </c>
      <c r="C45" s="21">
        <v>14</v>
      </c>
      <c r="D45" s="11">
        <v>9200</v>
      </c>
      <c r="E45" s="11">
        <v>0.1</v>
      </c>
      <c r="F45" s="11">
        <v>99.3</v>
      </c>
    </row>
    <row r="46" spans="1:6" x14ac:dyDescent="0.25">
      <c r="A46" s="10" t="s">
        <v>300</v>
      </c>
      <c r="B46" s="11">
        <v>126850</v>
      </c>
      <c r="C46" s="11">
        <v>158</v>
      </c>
      <c r="D46" s="11">
        <v>806</v>
      </c>
      <c r="E46" s="11">
        <v>0.1</v>
      </c>
      <c r="F46" s="11">
        <v>99.3</v>
      </c>
    </row>
    <row r="47" spans="1:6" x14ac:dyDescent="0.25">
      <c r="A47" s="10" t="s">
        <v>301</v>
      </c>
      <c r="B47" s="11">
        <v>122000</v>
      </c>
      <c r="C47" s="21">
        <v>2</v>
      </c>
      <c r="D47" s="11">
        <v>15250</v>
      </c>
      <c r="E47" s="11">
        <v>0.1</v>
      </c>
      <c r="F47" s="11">
        <v>99.4</v>
      </c>
    </row>
    <row r="48" spans="1:6" x14ac:dyDescent="0.25">
      <c r="A48" s="10" t="s">
        <v>302</v>
      </c>
      <c r="B48" s="11">
        <v>100700</v>
      </c>
      <c r="C48" s="21">
        <v>45</v>
      </c>
      <c r="D48" s="11">
        <v>2238</v>
      </c>
      <c r="E48" s="11">
        <v>0.1</v>
      </c>
      <c r="F48" s="11">
        <v>99.5</v>
      </c>
    </row>
    <row r="49" spans="1:6" x14ac:dyDescent="0.25">
      <c r="A49" s="10" t="s">
        <v>303</v>
      </c>
      <c r="B49" s="11">
        <v>83500</v>
      </c>
      <c r="C49" s="21">
        <v>38</v>
      </c>
      <c r="D49" s="11">
        <v>2197</v>
      </c>
      <c r="E49" s="11">
        <v>0.1</v>
      </c>
      <c r="F49" s="11">
        <v>99.5</v>
      </c>
    </row>
    <row r="50" spans="1:6" x14ac:dyDescent="0.25">
      <c r="A50" s="10" t="s">
        <v>304</v>
      </c>
      <c r="B50" s="11">
        <v>83500</v>
      </c>
      <c r="C50" s="21">
        <v>10</v>
      </c>
      <c r="D50" s="11">
        <v>8350</v>
      </c>
      <c r="E50" s="11">
        <v>0.1</v>
      </c>
      <c r="F50" s="11">
        <v>99.6</v>
      </c>
    </row>
    <row r="51" spans="1:6" x14ac:dyDescent="0.25">
      <c r="A51" s="10" t="s">
        <v>305</v>
      </c>
      <c r="B51" s="11">
        <v>79300</v>
      </c>
      <c r="C51" s="21">
        <v>36</v>
      </c>
      <c r="D51" s="11">
        <v>2083</v>
      </c>
      <c r="E51" s="11">
        <v>0.1</v>
      </c>
      <c r="F51" s="11">
        <v>99.6</v>
      </c>
    </row>
    <row r="52" spans="1:6" x14ac:dyDescent="0.25">
      <c r="A52" s="10" t="s">
        <v>306</v>
      </c>
      <c r="B52" s="11">
        <v>77342</v>
      </c>
      <c r="C52" s="21">
        <v>1</v>
      </c>
      <c r="D52" s="11">
        <v>12736</v>
      </c>
      <c r="E52" s="11">
        <v>0</v>
      </c>
      <c r="F52" s="11">
        <v>99.7</v>
      </c>
    </row>
    <row r="53" spans="1:6" x14ac:dyDescent="0.25">
      <c r="A53" s="10" t="s">
        <v>307</v>
      </c>
      <c r="B53" s="11">
        <v>76800</v>
      </c>
      <c r="C53" s="21">
        <v>8</v>
      </c>
      <c r="D53" s="11">
        <v>9600</v>
      </c>
      <c r="E53" s="11">
        <v>0</v>
      </c>
      <c r="F53" s="11">
        <v>99.7</v>
      </c>
    </row>
    <row r="54" spans="1:6" x14ac:dyDescent="0.25">
      <c r="A54" s="10" t="s">
        <v>308</v>
      </c>
      <c r="B54" s="11">
        <v>59650</v>
      </c>
      <c r="C54" s="21">
        <v>26</v>
      </c>
      <c r="D54" s="11">
        <v>2218</v>
      </c>
      <c r="E54" s="11">
        <v>0</v>
      </c>
      <c r="F54" s="11">
        <v>99.8</v>
      </c>
    </row>
    <row r="55" spans="1:6" x14ac:dyDescent="0.25">
      <c r="A55" s="10" t="s">
        <v>309</v>
      </c>
      <c r="B55" s="11">
        <v>52200</v>
      </c>
      <c r="C55" s="21">
        <v>6</v>
      </c>
      <c r="D55" s="11">
        <v>8460</v>
      </c>
      <c r="E55" s="11">
        <v>0</v>
      </c>
      <c r="F55" s="11">
        <v>99.8</v>
      </c>
    </row>
    <row r="56" spans="1:6" x14ac:dyDescent="0.25">
      <c r="A56" s="10" t="s">
        <v>310</v>
      </c>
      <c r="B56" s="11">
        <v>51700</v>
      </c>
      <c r="C56" s="21">
        <v>23</v>
      </c>
      <c r="D56" s="11">
        <v>2248</v>
      </c>
      <c r="E56" s="11">
        <v>0</v>
      </c>
      <c r="F56" s="11">
        <v>99.9</v>
      </c>
    </row>
    <row r="57" spans="1:6" x14ac:dyDescent="0.25">
      <c r="A57" s="10" t="s">
        <v>311</v>
      </c>
      <c r="B57" s="11">
        <v>45100</v>
      </c>
      <c r="C57" s="21">
        <v>19</v>
      </c>
      <c r="D57" s="11">
        <v>2374</v>
      </c>
      <c r="E57" s="11">
        <v>0</v>
      </c>
      <c r="F57" s="11">
        <v>99.9</v>
      </c>
    </row>
    <row r="58" spans="1:6" x14ac:dyDescent="0.25">
      <c r="A58" s="10" t="s">
        <v>312</v>
      </c>
      <c r="B58" s="11">
        <v>40600</v>
      </c>
      <c r="C58" s="21">
        <v>28</v>
      </c>
      <c r="D58" s="11">
        <v>1467</v>
      </c>
      <c r="E58" s="11">
        <v>0</v>
      </c>
      <c r="F58" s="11">
        <v>99.9</v>
      </c>
    </row>
    <row r="59" spans="1:6" x14ac:dyDescent="0.25">
      <c r="A59" s="10" t="s">
        <v>313</v>
      </c>
      <c r="B59" s="11">
        <v>37550</v>
      </c>
      <c r="C59" s="21">
        <v>17</v>
      </c>
      <c r="D59" s="11">
        <v>2209</v>
      </c>
      <c r="E59" s="11">
        <v>0</v>
      </c>
      <c r="F59" s="11">
        <v>99.9</v>
      </c>
    </row>
    <row r="60" spans="1:6" x14ac:dyDescent="0.25">
      <c r="A60" s="10" t="s">
        <v>314</v>
      </c>
      <c r="B60" s="11">
        <v>35800</v>
      </c>
      <c r="C60" s="21">
        <v>1</v>
      </c>
      <c r="D60" s="11">
        <v>35800</v>
      </c>
      <c r="E60" s="11">
        <v>0</v>
      </c>
      <c r="F60" s="11">
        <v>100</v>
      </c>
    </row>
    <row r="61" spans="1:6" x14ac:dyDescent="0.25">
      <c r="A61" s="10" t="s">
        <v>315</v>
      </c>
      <c r="B61" s="11">
        <v>21000</v>
      </c>
      <c r="C61" s="21">
        <v>2</v>
      </c>
      <c r="D61" s="11">
        <v>10500</v>
      </c>
      <c r="E61" s="11">
        <v>0</v>
      </c>
      <c r="F61" s="11">
        <v>100</v>
      </c>
    </row>
    <row r="62" spans="1:6" x14ac:dyDescent="0.25">
      <c r="A62" s="10" t="s">
        <v>316</v>
      </c>
      <c r="B62" s="11">
        <v>19200</v>
      </c>
      <c r="C62" s="21">
        <v>9</v>
      </c>
      <c r="D62" s="11">
        <v>2133</v>
      </c>
      <c r="E62" s="11">
        <v>0</v>
      </c>
      <c r="F62" s="11">
        <v>100</v>
      </c>
    </row>
    <row r="63" spans="1:6" x14ac:dyDescent="0.25">
      <c r="A63" s="10" t="s">
        <v>317</v>
      </c>
      <c r="B63" s="11">
        <v>14900</v>
      </c>
      <c r="C63" s="21">
        <v>20</v>
      </c>
      <c r="D63" s="11">
        <v>745</v>
      </c>
      <c r="E63" s="11">
        <v>0</v>
      </c>
      <c r="F63" s="11">
        <v>100</v>
      </c>
    </row>
    <row r="64" spans="1:6" x14ac:dyDescent="0.25">
      <c r="A64" s="10" t="s">
        <v>318</v>
      </c>
      <c r="B64" s="11">
        <v>6500</v>
      </c>
      <c r="C64" s="21">
        <v>8</v>
      </c>
      <c r="D64" s="11">
        <v>812</v>
      </c>
      <c r="E64" s="11">
        <v>0</v>
      </c>
      <c r="F64" s="11">
        <v>100</v>
      </c>
    </row>
    <row r="65" spans="1:6" x14ac:dyDescent="0.25">
      <c r="A65" s="10" t="s">
        <v>319</v>
      </c>
      <c r="B65" s="11">
        <v>5900</v>
      </c>
      <c r="C65" s="21">
        <v>8</v>
      </c>
      <c r="D65" s="11">
        <v>738</v>
      </c>
      <c r="E65" s="11">
        <v>0</v>
      </c>
      <c r="F65" s="11">
        <v>100</v>
      </c>
    </row>
    <row r="66" spans="1:6" x14ac:dyDescent="0.25">
      <c r="A66" s="10" t="s">
        <v>320</v>
      </c>
      <c r="B66" s="11">
        <v>4050</v>
      </c>
      <c r="C66" s="21">
        <v>1</v>
      </c>
      <c r="D66" s="11">
        <v>4050</v>
      </c>
      <c r="E66" s="11">
        <v>0</v>
      </c>
      <c r="F66" s="11">
        <v>100</v>
      </c>
    </row>
    <row r="67" spans="1:6" x14ac:dyDescent="0.25">
      <c r="A67" s="10" t="s">
        <v>321</v>
      </c>
      <c r="B67" s="11">
        <v>218</v>
      </c>
      <c r="C67" s="21">
        <v>0</v>
      </c>
      <c r="D67" s="11">
        <v>1900</v>
      </c>
      <c r="E67" s="11">
        <v>0</v>
      </c>
      <c r="F67" s="11">
        <v>100</v>
      </c>
    </row>
    <row r="69" spans="1:6" x14ac:dyDescent="0.25">
      <c r="A69" s="45" t="s">
        <v>322</v>
      </c>
      <c r="B69" s="46"/>
      <c r="C69" s="46"/>
      <c r="D69" s="46"/>
      <c r="E69" s="46"/>
      <c r="F69" s="46"/>
    </row>
  </sheetData>
  <mergeCells count="2">
    <mergeCell ref="A69:F69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1"/>
  <sheetViews>
    <sheetView showGridLines="0" workbookViewId="0"/>
  </sheetViews>
  <sheetFormatPr baseColWidth="10" defaultColWidth="9.140625" defaultRowHeight="15" x14ac:dyDescent="0.25"/>
  <cols>
    <col min="1" max="1" width="30" customWidth="1"/>
    <col min="2" max="2" width="14" customWidth="1"/>
    <col min="3" max="3" width="10" customWidth="1"/>
    <col min="4" max="6" width="14" customWidth="1"/>
    <col min="7" max="7" width="10" customWidth="1"/>
    <col min="8" max="8" width="30" customWidth="1"/>
  </cols>
  <sheetData>
    <row r="1" spans="1:8" ht="18.75" x14ac:dyDescent="0.3">
      <c r="A1" s="48" t="s">
        <v>323</v>
      </c>
      <c r="B1" s="46"/>
      <c r="C1" s="46"/>
      <c r="D1" s="46"/>
      <c r="E1" s="46"/>
      <c r="F1" s="46"/>
      <c r="G1" s="46"/>
      <c r="H1" s="46"/>
    </row>
    <row r="2" spans="1:8" x14ac:dyDescent="0.25">
      <c r="A2" s="45" t="s">
        <v>324</v>
      </c>
      <c r="B2" s="46"/>
      <c r="C2" s="46"/>
      <c r="D2" s="46"/>
      <c r="E2" s="46"/>
      <c r="F2" s="46"/>
      <c r="G2" s="46"/>
      <c r="H2" s="46"/>
    </row>
    <row r="4" spans="1:8" ht="15.75" x14ac:dyDescent="0.25">
      <c r="A4" s="47" t="s">
        <v>325</v>
      </c>
      <c r="B4" s="46"/>
      <c r="C4" s="46"/>
      <c r="D4" s="46"/>
      <c r="E4" s="46"/>
      <c r="F4" s="46"/>
      <c r="G4" s="46"/>
      <c r="H4" s="46"/>
    </row>
    <row r="5" spans="1:8" x14ac:dyDescent="0.25">
      <c r="A5" s="1" t="s">
        <v>326</v>
      </c>
      <c r="B5" s="1" t="s">
        <v>327</v>
      </c>
      <c r="C5" s="1" t="s">
        <v>328</v>
      </c>
      <c r="D5" s="1" t="s">
        <v>329</v>
      </c>
      <c r="E5" s="1" t="s">
        <v>330</v>
      </c>
      <c r="F5" s="1"/>
      <c r="G5" s="1"/>
      <c r="H5" s="1" t="s">
        <v>331</v>
      </c>
    </row>
    <row r="6" spans="1:8" x14ac:dyDescent="0.25">
      <c r="A6" s="5" t="s">
        <v>332</v>
      </c>
      <c r="B6" s="6">
        <v>15218</v>
      </c>
      <c r="C6" s="5" t="s">
        <v>333</v>
      </c>
      <c r="D6" s="5" t="s">
        <v>334</v>
      </c>
      <c r="E6" s="6">
        <v>12174</v>
      </c>
      <c r="F6" s="5"/>
      <c r="G6" s="5"/>
      <c r="H6" s="5" t="s">
        <v>335</v>
      </c>
    </row>
    <row r="7" spans="1:8" x14ac:dyDescent="0.25">
      <c r="A7" s="5" t="s">
        <v>336</v>
      </c>
      <c r="B7" s="6">
        <v>19806</v>
      </c>
      <c r="C7" s="5" t="s">
        <v>333</v>
      </c>
      <c r="D7" s="5" t="s">
        <v>334</v>
      </c>
      <c r="E7" s="6">
        <v>15845</v>
      </c>
      <c r="F7" s="5"/>
      <c r="G7" s="5"/>
      <c r="H7" s="5" t="s">
        <v>337</v>
      </c>
    </row>
    <row r="8" spans="1:8" x14ac:dyDescent="0.25">
      <c r="A8" s="5" t="s">
        <v>338</v>
      </c>
      <c r="B8" s="6">
        <v>12008</v>
      </c>
      <c r="C8" s="5" t="s">
        <v>333</v>
      </c>
      <c r="D8" s="5" t="s">
        <v>334</v>
      </c>
      <c r="E8" s="6">
        <v>9606</v>
      </c>
      <c r="F8" s="5"/>
      <c r="G8" s="5"/>
      <c r="H8" s="5" t="s">
        <v>339</v>
      </c>
    </row>
    <row r="9" spans="1:8" x14ac:dyDescent="0.25">
      <c r="A9" s="5" t="s">
        <v>340</v>
      </c>
      <c r="B9" s="6">
        <v>5207</v>
      </c>
      <c r="C9" s="5" t="s">
        <v>333</v>
      </c>
      <c r="D9" s="5" t="s">
        <v>341</v>
      </c>
      <c r="E9" s="6">
        <v>3749</v>
      </c>
      <c r="F9" s="5"/>
      <c r="G9" s="5"/>
      <c r="H9" s="5" t="s">
        <v>342</v>
      </c>
    </row>
    <row r="10" spans="1:8" x14ac:dyDescent="0.25">
      <c r="A10" s="5" t="s">
        <v>343</v>
      </c>
      <c r="B10" s="6">
        <v>11262</v>
      </c>
      <c r="C10" s="5" t="s">
        <v>333</v>
      </c>
      <c r="D10" s="5" t="s">
        <v>334</v>
      </c>
      <c r="E10" s="6">
        <v>9010</v>
      </c>
      <c r="F10" s="5"/>
      <c r="G10" s="5"/>
      <c r="H10" s="5" t="s">
        <v>344</v>
      </c>
    </row>
    <row r="11" spans="1:8" x14ac:dyDescent="0.25">
      <c r="A11" s="5" t="s">
        <v>345</v>
      </c>
      <c r="B11" s="6">
        <v>7650</v>
      </c>
      <c r="C11" s="5" t="s">
        <v>333</v>
      </c>
      <c r="D11" s="5" t="s">
        <v>346</v>
      </c>
      <c r="E11" s="6">
        <v>4208</v>
      </c>
      <c r="F11" s="5"/>
      <c r="G11" s="5"/>
      <c r="H11" s="5" t="s">
        <v>347</v>
      </c>
    </row>
    <row r="12" spans="1:8" x14ac:dyDescent="0.25">
      <c r="A12" s="5" t="s">
        <v>348</v>
      </c>
      <c r="B12" s="6">
        <v>8031</v>
      </c>
      <c r="C12" s="5" t="s">
        <v>333</v>
      </c>
      <c r="D12" s="5" t="s">
        <v>346</v>
      </c>
      <c r="E12" s="6">
        <v>4417</v>
      </c>
      <c r="F12" s="5"/>
      <c r="G12" s="5"/>
      <c r="H12" s="5" t="s">
        <v>349</v>
      </c>
    </row>
    <row r="13" spans="1:8" x14ac:dyDescent="0.25">
      <c r="A13" s="5" t="s">
        <v>350</v>
      </c>
      <c r="B13" s="6">
        <v>3840</v>
      </c>
      <c r="C13" s="5" t="s">
        <v>333</v>
      </c>
      <c r="D13" s="5" t="s">
        <v>346</v>
      </c>
      <c r="E13" s="6">
        <v>2112</v>
      </c>
      <c r="F13" s="5"/>
      <c r="G13" s="5"/>
      <c r="H13" s="5" t="s">
        <v>351</v>
      </c>
    </row>
    <row r="14" spans="1:8" x14ac:dyDescent="0.25">
      <c r="A14" s="5" t="s">
        <v>352</v>
      </c>
      <c r="B14" s="6">
        <v>1150</v>
      </c>
      <c r="C14" s="5" t="s">
        <v>353</v>
      </c>
      <c r="D14" s="5" t="s">
        <v>354</v>
      </c>
      <c r="E14" s="6">
        <v>805</v>
      </c>
      <c r="F14" s="5"/>
      <c r="G14" s="5"/>
      <c r="H14" s="5" t="s">
        <v>355</v>
      </c>
    </row>
    <row r="15" spans="1:8" x14ac:dyDescent="0.25">
      <c r="A15" s="5" t="s">
        <v>356</v>
      </c>
      <c r="B15" s="6">
        <v>7040</v>
      </c>
      <c r="C15" s="5" t="s">
        <v>357</v>
      </c>
      <c r="D15" s="5" t="s">
        <v>354</v>
      </c>
      <c r="E15" s="6">
        <v>4928</v>
      </c>
      <c r="F15" s="5"/>
      <c r="G15" s="5"/>
      <c r="H15" s="5" t="s">
        <v>358</v>
      </c>
    </row>
    <row r="16" spans="1:8" x14ac:dyDescent="0.25">
      <c r="A16" s="5" t="s">
        <v>359</v>
      </c>
      <c r="B16" s="6">
        <v>1037</v>
      </c>
      <c r="C16" s="5" t="s">
        <v>333</v>
      </c>
      <c r="D16" s="5" t="s">
        <v>341</v>
      </c>
      <c r="E16" s="6">
        <v>747</v>
      </c>
      <c r="F16" s="5"/>
      <c r="G16" s="5"/>
      <c r="H16" s="5" t="s">
        <v>360</v>
      </c>
    </row>
    <row r="17" spans="1:8" x14ac:dyDescent="0.25">
      <c r="A17" s="5" t="s">
        <v>361</v>
      </c>
      <c r="B17" s="6">
        <v>1671</v>
      </c>
      <c r="C17" s="5" t="s">
        <v>357</v>
      </c>
      <c r="D17" s="5" t="s">
        <v>341</v>
      </c>
      <c r="E17" s="6">
        <v>1203</v>
      </c>
      <c r="F17" s="5"/>
      <c r="G17" s="5"/>
      <c r="H17" s="5" t="s">
        <v>362</v>
      </c>
    </row>
    <row r="18" spans="1:8" x14ac:dyDescent="0.25">
      <c r="A18" s="5" t="s">
        <v>363</v>
      </c>
      <c r="B18" s="6">
        <v>1550</v>
      </c>
      <c r="C18" s="5" t="s">
        <v>364</v>
      </c>
      <c r="D18" s="5" t="s">
        <v>341</v>
      </c>
      <c r="E18" s="6">
        <v>1116</v>
      </c>
      <c r="F18" s="5"/>
      <c r="G18" s="5"/>
      <c r="H18" s="5" t="s">
        <v>365</v>
      </c>
    </row>
    <row r="19" spans="1:8" x14ac:dyDescent="0.25">
      <c r="A19" s="5" t="s">
        <v>366</v>
      </c>
      <c r="B19" s="6">
        <v>830</v>
      </c>
      <c r="C19" s="5" t="s">
        <v>367</v>
      </c>
      <c r="D19" s="5" t="s">
        <v>341</v>
      </c>
      <c r="E19" s="6">
        <v>598</v>
      </c>
      <c r="F19" s="5"/>
      <c r="G19" s="5"/>
      <c r="H19" s="5" t="s">
        <v>368</v>
      </c>
    </row>
    <row r="21" spans="1:8" ht="15.75" x14ac:dyDescent="0.25">
      <c r="A21" s="47" t="s">
        <v>369</v>
      </c>
      <c r="B21" s="46"/>
      <c r="C21" s="46"/>
      <c r="D21" s="46"/>
      <c r="E21" s="46"/>
      <c r="F21" s="46"/>
      <c r="G21" s="46"/>
      <c r="H21" s="46"/>
    </row>
    <row r="22" spans="1:8" x14ac:dyDescent="0.25">
      <c r="A22" s="1" t="s">
        <v>370</v>
      </c>
      <c r="B22" s="1" t="s">
        <v>254</v>
      </c>
      <c r="C22" s="1" t="s">
        <v>328</v>
      </c>
      <c r="D22" s="1" t="s">
        <v>327</v>
      </c>
      <c r="E22" s="1" t="s">
        <v>371</v>
      </c>
      <c r="F22" s="1" t="s">
        <v>372</v>
      </c>
      <c r="G22" s="1" t="s">
        <v>373</v>
      </c>
      <c r="H22" s="1" t="s">
        <v>374</v>
      </c>
    </row>
    <row r="23" spans="1:8" x14ac:dyDescent="0.25">
      <c r="A23" s="26" t="s">
        <v>375</v>
      </c>
      <c r="B23" s="26"/>
      <c r="C23" s="26"/>
      <c r="D23" s="26"/>
      <c r="E23" s="26"/>
      <c r="F23" s="27">
        <v>10702</v>
      </c>
      <c r="G23" s="26"/>
      <c r="H23" s="26" t="s">
        <v>376</v>
      </c>
    </row>
    <row r="24" spans="1:8" x14ac:dyDescent="0.25">
      <c r="A24" s="5" t="s">
        <v>377</v>
      </c>
      <c r="B24" s="6">
        <v>0.35</v>
      </c>
      <c r="C24" s="5" t="s">
        <v>378</v>
      </c>
      <c r="D24" s="6">
        <v>5326</v>
      </c>
      <c r="E24" s="6">
        <v>4261</v>
      </c>
      <c r="F24" s="5"/>
      <c r="G24" s="5"/>
      <c r="H24" s="5"/>
    </row>
    <row r="25" spans="1:8" x14ac:dyDescent="0.25">
      <c r="A25" s="5" t="s">
        <v>379</v>
      </c>
      <c r="B25" s="28">
        <v>1</v>
      </c>
      <c r="C25" s="5" t="s">
        <v>380</v>
      </c>
      <c r="D25" s="6">
        <v>1150</v>
      </c>
      <c r="E25" s="6">
        <v>805</v>
      </c>
      <c r="F25" s="5"/>
      <c r="G25" s="5"/>
      <c r="H25" s="5"/>
    </row>
    <row r="26" spans="1:8" x14ac:dyDescent="0.25">
      <c r="A26" s="5" t="s">
        <v>381</v>
      </c>
      <c r="B26" s="6">
        <v>0.15</v>
      </c>
      <c r="C26" s="5" t="s">
        <v>378</v>
      </c>
      <c r="D26" s="6">
        <v>225</v>
      </c>
      <c r="E26" s="6">
        <v>162</v>
      </c>
      <c r="F26" s="5"/>
      <c r="G26" s="5"/>
      <c r="H26" s="5"/>
    </row>
    <row r="27" spans="1:8" x14ac:dyDescent="0.25">
      <c r="A27" s="5" t="s">
        <v>382</v>
      </c>
      <c r="B27" s="6">
        <v>0.5</v>
      </c>
      <c r="C27" s="5" t="s">
        <v>383</v>
      </c>
      <c r="D27" s="6">
        <v>140</v>
      </c>
      <c r="E27" s="6">
        <v>100</v>
      </c>
      <c r="F27" s="5"/>
      <c r="G27" s="5"/>
      <c r="H27" s="5"/>
    </row>
    <row r="28" spans="1:8" x14ac:dyDescent="0.25">
      <c r="A28" s="5" t="s">
        <v>384</v>
      </c>
      <c r="B28" s="28">
        <v>1</v>
      </c>
      <c r="C28" s="5" t="s">
        <v>385</v>
      </c>
      <c r="D28" s="6">
        <v>300</v>
      </c>
      <c r="E28" s="6">
        <v>216</v>
      </c>
      <c r="F28" s="5"/>
      <c r="G28" s="5"/>
      <c r="H28" s="5"/>
    </row>
    <row r="29" spans="1:8" x14ac:dyDescent="0.25">
      <c r="A29" s="2" t="s">
        <v>386</v>
      </c>
      <c r="B29" s="2"/>
      <c r="C29" s="2"/>
      <c r="D29" s="2"/>
      <c r="E29" s="3">
        <v>5544</v>
      </c>
      <c r="F29" s="3">
        <v>10702</v>
      </c>
      <c r="G29" s="2" t="s">
        <v>387</v>
      </c>
      <c r="H29" s="2"/>
    </row>
    <row r="30" spans="1:8" x14ac:dyDescent="0.25">
      <c r="A30" s="26" t="s">
        <v>388</v>
      </c>
      <c r="B30" s="26"/>
      <c r="C30" s="26"/>
      <c r="D30" s="26"/>
      <c r="E30" s="26"/>
      <c r="F30" s="27">
        <v>5329</v>
      </c>
      <c r="G30" s="26"/>
      <c r="H30" s="26" t="s">
        <v>389</v>
      </c>
    </row>
    <row r="31" spans="1:8" x14ac:dyDescent="0.25">
      <c r="A31" s="5" t="s">
        <v>390</v>
      </c>
      <c r="B31" s="6">
        <v>0.12</v>
      </c>
      <c r="C31" s="5" t="s">
        <v>378</v>
      </c>
      <c r="D31" s="6">
        <v>918</v>
      </c>
      <c r="E31" s="6">
        <v>505</v>
      </c>
      <c r="F31" s="5"/>
      <c r="G31" s="5"/>
      <c r="H31" s="5"/>
    </row>
    <row r="32" spans="1:8" x14ac:dyDescent="0.25">
      <c r="A32" s="5" t="s">
        <v>391</v>
      </c>
      <c r="B32" s="6">
        <v>0.1</v>
      </c>
      <c r="C32" s="5" t="s">
        <v>378</v>
      </c>
      <c r="D32" s="6">
        <v>803</v>
      </c>
      <c r="E32" s="6">
        <v>442</v>
      </c>
      <c r="F32" s="5"/>
      <c r="G32" s="5"/>
      <c r="H32" s="5"/>
    </row>
    <row r="33" spans="1:8" x14ac:dyDescent="0.25">
      <c r="A33" s="5" t="s">
        <v>392</v>
      </c>
      <c r="B33" s="6">
        <v>0.5</v>
      </c>
      <c r="C33" s="5" t="s">
        <v>380</v>
      </c>
      <c r="D33" s="6">
        <v>575</v>
      </c>
      <c r="E33" s="6">
        <v>402</v>
      </c>
      <c r="F33" s="5"/>
      <c r="G33" s="5"/>
      <c r="H33" s="5"/>
    </row>
    <row r="34" spans="1:8" x14ac:dyDescent="0.25">
      <c r="A34" s="5" t="s">
        <v>393</v>
      </c>
      <c r="B34" s="28">
        <v>1</v>
      </c>
      <c r="C34" s="5" t="s">
        <v>385</v>
      </c>
      <c r="D34" s="6">
        <v>150</v>
      </c>
      <c r="E34" s="6">
        <v>108</v>
      </c>
      <c r="F34" s="5"/>
      <c r="G34" s="5"/>
      <c r="H34" s="5"/>
    </row>
    <row r="35" spans="1:8" x14ac:dyDescent="0.25">
      <c r="A35" s="2" t="s">
        <v>386</v>
      </c>
      <c r="B35" s="2"/>
      <c r="C35" s="2"/>
      <c r="D35" s="2"/>
      <c r="E35" s="3">
        <v>1457</v>
      </c>
      <c r="F35" s="3">
        <v>5329</v>
      </c>
      <c r="G35" s="2" t="s">
        <v>394</v>
      </c>
      <c r="H35" s="2"/>
    </row>
    <row r="36" spans="1:8" x14ac:dyDescent="0.25">
      <c r="A36" s="26" t="s">
        <v>395</v>
      </c>
      <c r="B36" s="26"/>
      <c r="C36" s="26"/>
      <c r="D36" s="26"/>
      <c r="E36" s="26"/>
      <c r="F36" s="27">
        <v>44951</v>
      </c>
      <c r="G36" s="26"/>
      <c r="H36" s="26" t="s">
        <v>396</v>
      </c>
    </row>
    <row r="37" spans="1:8" x14ac:dyDescent="0.25">
      <c r="A37" s="5" t="s">
        <v>397</v>
      </c>
      <c r="B37" s="6">
        <v>1.4</v>
      </c>
      <c r="C37" s="5" t="s">
        <v>378</v>
      </c>
      <c r="D37" s="6">
        <v>27728</v>
      </c>
      <c r="E37" s="6">
        <v>22183</v>
      </c>
      <c r="F37" s="5"/>
      <c r="G37" s="5"/>
      <c r="H37" s="5"/>
    </row>
    <row r="38" spans="1:8" x14ac:dyDescent="0.25">
      <c r="A38" s="5" t="s">
        <v>398</v>
      </c>
      <c r="B38" s="28">
        <v>1</v>
      </c>
      <c r="C38" s="5" t="s">
        <v>385</v>
      </c>
      <c r="D38" s="6">
        <v>500</v>
      </c>
      <c r="E38" s="6">
        <v>360</v>
      </c>
      <c r="F38" s="5"/>
      <c r="G38" s="5"/>
      <c r="H38" s="5"/>
    </row>
    <row r="39" spans="1:8" x14ac:dyDescent="0.25">
      <c r="A39" s="2" t="s">
        <v>386</v>
      </c>
      <c r="B39" s="2"/>
      <c r="C39" s="2"/>
      <c r="D39" s="2"/>
      <c r="E39" s="3">
        <v>22543</v>
      </c>
      <c r="F39" s="3">
        <v>44951</v>
      </c>
      <c r="G39" s="2" t="s">
        <v>25</v>
      </c>
      <c r="H39" s="2"/>
    </row>
    <row r="40" spans="1:8" x14ac:dyDescent="0.25">
      <c r="A40" s="26" t="s">
        <v>399</v>
      </c>
      <c r="B40" s="26"/>
      <c r="C40" s="26"/>
      <c r="D40" s="26"/>
      <c r="E40" s="26"/>
      <c r="F40" s="27">
        <v>7287</v>
      </c>
      <c r="G40" s="26"/>
      <c r="H40" s="26" t="s">
        <v>400</v>
      </c>
    </row>
    <row r="41" spans="1:8" x14ac:dyDescent="0.25">
      <c r="A41" s="5" t="s">
        <v>401</v>
      </c>
      <c r="B41" s="6">
        <v>0.25</v>
      </c>
      <c r="C41" s="5" t="s">
        <v>378</v>
      </c>
      <c r="D41" s="6">
        <v>259</v>
      </c>
      <c r="E41" s="6">
        <v>187</v>
      </c>
      <c r="F41" s="5"/>
      <c r="G41" s="5"/>
      <c r="H41" s="5"/>
    </row>
    <row r="42" spans="1:8" x14ac:dyDescent="0.25">
      <c r="A42" s="5" t="s">
        <v>391</v>
      </c>
      <c r="B42" s="6">
        <v>0.2</v>
      </c>
      <c r="C42" s="5" t="s">
        <v>378</v>
      </c>
      <c r="D42" s="6">
        <v>1606</v>
      </c>
      <c r="E42" s="6">
        <v>883</v>
      </c>
      <c r="F42" s="5"/>
      <c r="G42" s="5"/>
      <c r="H42" s="5"/>
    </row>
    <row r="43" spans="1:8" x14ac:dyDescent="0.25">
      <c r="A43" s="5" t="s">
        <v>402</v>
      </c>
      <c r="B43" s="6">
        <v>0.15</v>
      </c>
      <c r="C43" s="5" t="s">
        <v>378</v>
      </c>
      <c r="D43" s="6">
        <v>239</v>
      </c>
      <c r="E43" s="6">
        <v>172</v>
      </c>
      <c r="F43" s="5"/>
      <c r="G43" s="5"/>
      <c r="H43" s="5"/>
    </row>
    <row r="44" spans="1:8" x14ac:dyDescent="0.25">
      <c r="A44" s="5" t="s">
        <v>403</v>
      </c>
      <c r="B44" s="28">
        <v>1</v>
      </c>
      <c r="C44" s="5" t="s">
        <v>385</v>
      </c>
      <c r="D44" s="6">
        <v>200</v>
      </c>
      <c r="E44" s="6">
        <v>144</v>
      </c>
      <c r="F44" s="5"/>
      <c r="G44" s="5"/>
      <c r="H44" s="5"/>
    </row>
    <row r="45" spans="1:8" x14ac:dyDescent="0.25">
      <c r="A45" s="2" t="s">
        <v>386</v>
      </c>
      <c r="B45" s="2"/>
      <c r="C45" s="2"/>
      <c r="D45" s="2"/>
      <c r="E45" s="3">
        <v>1386</v>
      </c>
      <c r="F45" s="3">
        <v>7287</v>
      </c>
      <c r="G45" s="2" t="s">
        <v>404</v>
      </c>
      <c r="H45" s="2"/>
    </row>
    <row r="46" spans="1:8" x14ac:dyDescent="0.25">
      <c r="A46" s="26" t="s">
        <v>405</v>
      </c>
      <c r="B46" s="26"/>
      <c r="C46" s="26"/>
      <c r="D46" s="26"/>
      <c r="E46" s="26"/>
      <c r="F46" s="27">
        <v>13129</v>
      </c>
      <c r="G46" s="26"/>
      <c r="H46" s="26" t="s">
        <v>400</v>
      </c>
    </row>
    <row r="47" spans="1:8" x14ac:dyDescent="0.25">
      <c r="A47" s="5" t="s">
        <v>406</v>
      </c>
      <c r="B47" s="6">
        <v>0.15</v>
      </c>
      <c r="C47" s="5" t="s">
        <v>378</v>
      </c>
      <c r="D47" s="6">
        <v>2283</v>
      </c>
      <c r="E47" s="6">
        <v>1826</v>
      </c>
      <c r="F47" s="5"/>
      <c r="G47" s="5"/>
      <c r="H47" s="5"/>
    </row>
    <row r="48" spans="1:8" x14ac:dyDescent="0.25">
      <c r="A48" s="5" t="s">
        <v>407</v>
      </c>
      <c r="B48" s="28">
        <v>1</v>
      </c>
      <c r="C48" s="5" t="s">
        <v>383</v>
      </c>
      <c r="D48" s="6">
        <v>800</v>
      </c>
      <c r="E48" s="6">
        <v>560</v>
      </c>
      <c r="F48" s="5"/>
      <c r="G48" s="5"/>
      <c r="H48" s="5"/>
    </row>
    <row r="49" spans="1:8" x14ac:dyDescent="0.25">
      <c r="A49" s="5" t="s">
        <v>408</v>
      </c>
      <c r="B49" s="6">
        <v>0.15</v>
      </c>
      <c r="C49" s="5" t="s">
        <v>378</v>
      </c>
      <c r="D49" s="6">
        <v>576</v>
      </c>
      <c r="E49" s="6">
        <v>317</v>
      </c>
      <c r="F49" s="5"/>
      <c r="G49" s="5"/>
      <c r="H49" s="5"/>
    </row>
    <row r="50" spans="1:8" x14ac:dyDescent="0.25">
      <c r="A50" s="5" t="s">
        <v>402</v>
      </c>
      <c r="B50" s="6">
        <v>0.2</v>
      </c>
      <c r="C50" s="5" t="s">
        <v>378</v>
      </c>
      <c r="D50" s="6">
        <v>319</v>
      </c>
      <c r="E50" s="6">
        <v>230</v>
      </c>
      <c r="F50" s="5"/>
      <c r="G50" s="5"/>
      <c r="H50" s="5"/>
    </row>
    <row r="51" spans="1:8" x14ac:dyDescent="0.25">
      <c r="A51" s="5" t="s">
        <v>391</v>
      </c>
      <c r="B51" s="6">
        <v>0.08</v>
      </c>
      <c r="C51" s="5" t="s">
        <v>378</v>
      </c>
      <c r="D51" s="6">
        <v>642</v>
      </c>
      <c r="E51" s="6">
        <v>353</v>
      </c>
      <c r="F51" s="5"/>
      <c r="G51" s="5"/>
      <c r="H51" s="5"/>
    </row>
    <row r="52" spans="1:8" x14ac:dyDescent="0.25">
      <c r="A52" s="2" t="s">
        <v>386</v>
      </c>
      <c r="B52" s="2"/>
      <c r="C52" s="2"/>
      <c r="D52" s="2"/>
      <c r="E52" s="3">
        <v>3286</v>
      </c>
      <c r="F52" s="3">
        <v>13129</v>
      </c>
      <c r="G52" s="2" t="s">
        <v>409</v>
      </c>
      <c r="H52" s="2"/>
    </row>
    <row r="53" spans="1:8" x14ac:dyDescent="0.25">
      <c r="A53" s="26" t="s">
        <v>410</v>
      </c>
      <c r="B53" s="26"/>
      <c r="C53" s="26"/>
      <c r="D53" s="26"/>
      <c r="E53" s="26"/>
      <c r="F53" s="27">
        <v>21953</v>
      </c>
      <c r="G53" s="26"/>
      <c r="H53" s="26" t="s">
        <v>411</v>
      </c>
    </row>
    <row r="54" spans="1:8" x14ac:dyDescent="0.25">
      <c r="A54" s="5" t="s">
        <v>412</v>
      </c>
      <c r="B54" s="6">
        <v>1.5</v>
      </c>
      <c r="C54" s="5" t="s">
        <v>378</v>
      </c>
      <c r="D54" s="6">
        <v>16893</v>
      </c>
      <c r="E54" s="6">
        <v>13514</v>
      </c>
      <c r="F54" s="5"/>
      <c r="G54" s="5"/>
      <c r="H54" s="5"/>
    </row>
    <row r="55" spans="1:8" x14ac:dyDescent="0.25">
      <c r="A55" s="5" t="s">
        <v>413</v>
      </c>
      <c r="B55" s="28">
        <v>1</v>
      </c>
      <c r="C55" s="5" t="s">
        <v>385</v>
      </c>
      <c r="D55" s="6">
        <v>800</v>
      </c>
      <c r="E55" s="6">
        <v>576</v>
      </c>
      <c r="F55" s="5"/>
      <c r="G55" s="5"/>
      <c r="H55" s="5"/>
    </row>
    <row r="56" spans="1:8" x14ac:dyDescent="0.25">
      <c r="A56" s="2" t="s">
        <v>386</v>
      </c>
      <c r="B56" s="2"/>
      <c r="C56" s="2"/>
      <c r="D56" s="2"/>
      <c r="E56" s="3">
        <v>14090</v>
      </c>
      <c r="F56" s="3">
        <v>21953</v>
      </c>
      <c r="G56" s="2" t="s">
        <v>414</v>
      </c>
      <c r="H56" s="2"/>
    </row>
    <row r="57" spans="1:8" x14ac:dyDescent="0.25">
      <c r="A57" s="26" t="s">
        <v>415</v>
      </c>
      <c r="B57" s="26"/>
      <c r="C57" s="26"/>
      <c r="D57" s="26"/>
      <c r="E57" s="26"/>
      <c r="F57" s="27">
        <v>29055</v>
      </c>
      <c r="G57" s="26"/>
      <c r="H57" s="26" t="s">
        <v>416</v>
      </c>
    </row>
    <row r="58" spans="1:8" x14ac:dyDescent="0.25">
      <c r="A58" s="5" t="s">
        <v>417</v>
      </c>
      <c r="B58" s="6">
        <v>3</v>
      </c>
      <c r="C58" s="5" t="s">
        <v>378</v>
      </c>
      <c r="D58" s="6">
        <v>15621</v>
      </c>
      <c r="E58" s="6">
        <v>11247</v>
      </c>
      <c r="F58" s="5"/>
      <c r="G58" s="5"/>
      <c r="H58" s="5"/>
    </row>
    <row r="59" spans="1:8" x14ac:dyDescent="0.25">
      <c r="A59" s="5" t="s">
        <v>418</v>
      </c>
      <c r="B59" s="28">
        <v>1</v>
      </c>
      <c r="C59" s="5" t="s">
        <v>385</v>
      </c>
      <c r="D59" s="6">
        <v>800</v>
      </c>
      <c r="E59" s="6">
        <v>576</v>
      </c>
      <c r="F59" s="5"/>
      <c r="G59" s="5"/>
      <c r="H59" s="5"/>
    </row>
    <row r="60" spans="1:8" x14ac:dyDescent="0.25">
      <c r="A60" s="2" t="s">
        <v>386</v>
      </c>
      <c r="B60" s="2"/>
      <c r="C60" s="2"/>
      <c r="D60" s="2"/>
      <c r="E60" s="3">
        <v>11823</v>
      </c>
      <c r="F60" s="3">
        <v>29055</v>
      </c>
      <c r="G60" s="2" t="s">
        <v>419</v>
      </c>
      <c r="H60" s="2"/>
    </row>
    <row r="61" spans="1:8" x14ac:dyDescent="0.25">
      <c r="A61" s="26" t="s">
        <v>420</v>
      </c>
      <c r="B61" s="26"/>
      <c r="C61" s="26"/>
      <c r="D61" s="26"/>
      <c r="E61" s="26"/>
      <c r="F61" s="27">
        <v>30520</v>
      </c>
      <c r="G61" s="26"/>
      <c r="H61" s="26" t="s">
        <v>416</v>
      </c>
    </row>
    <row r="62" spans="1:8" x14ac:dyDescent="0.25">
      <c r="A62" s="5" t="s">
        <v>421</v>
      </c>
      <c r="B62" s="6">
        <v>1</v>
      </c>
      <c r="C62" s="5" t="s">
        <v>378</v>
      </c>
      <c r="D62" s="6">
        <v>12008</v>
      </c>
      <c r="E62" s="6">
        <v>9606</v>
      </c>
      <c r="F62" s="5"/>
      <c r="G62" s="5"/>
      <c r="H62" s="5"/>
    </row>
    <row r="63" spans="1:8" x14ac:dyDescent="0.25">
      <c r="A63" s="5" t="s">
        <v>422</v>
      </c>
      <c r="B63" s="6">
        <v>0.15</v>
      </c>
      <c r="C63" s="5" t="s">
        <v>378</v>
      </c>
      <c r="D63" s="6">
        <v>1148</v>
      </c>
      <c r="E63" s="6">
        <v>631</v>
      </c>
      <c r="F63" s="5"/>
      <c r="G63" s="5"/>
      <c r="H63" s="5"/>
    </row>
    <row r="64" spans="1:8" x14ac:dyDescent="0.25">
      <c r="A64" s="5" t="s">
        <v>393</v>
      </c>
      <c r="B64" s="28">
        <v>1</v>
      </c>
      <c r="C64" s="5" t="s">
        <v>385</v>
      </c>
      <c r="D64" s="6">
        <v>400</v>
      </c>
      <c r="E64" s="6">
        <v>288</v>
      </c>
      <c r="F64" s="5"/>
      <c r="G64" s="5"/>
      <c r="H64" s="5"/>
    </row>
    <row r="65" spans="1:8" x14ac:dyDescent="0.25">
      <c r="A65" s="2" t="s">
        <v>386</v>
      </c>
      <c r="B65" s="2"/>
      <c r="C65" s="2"/>
      <c r="D65" s="2"/>
      <c r="E65" s="3">
        <v>10525</v>
      </c>
      <c r="F65" s="3">
        <v>30520</v>
      </c>
      <c r="G65" s="2" t="s">
        <v>423</v>
      </c>
      <c r="H65" s="2"/>
    </row>
    <row r="66" spans="1:8" x14ac:dyDescent="0.25">
      <c r="A66" s="26" t="s">
        <v>424</v>
      </c>
      <c r="B66" s="26"/>
      <c r="C66" s="26"/>
      <c r="D66" s="26"/>
      <c r="E66" s="26"/>
      <c r="F66" s="27">
        <v>9445</v>
      </c>
      <c r="G66" s="26"/>
      <c r="H66" s="26" t="s">
        <v>425</v>
      </c>
    </row>
    <row r="67" spans="1:8" x14ac:dyDescent="0.25">
      <c r="A67" s="5" t="s">
        <v>426</v>
      </c>
      <c r="B67" s="6">
        <v>0.48</v>
      </c>
      <c r="C67" s="5" t="s">
        <v>427</v>
      </c>
      <c r="D67" s="6">
        <v>3379</v>
      </c>
      <c r="E67" s="6">
        <v>2365</v>
      </c>
      <c r="F67" s="5"/>
      <c r="G67" s="5"/>
      <c r="H67" s="5"/>
    </row>
    <row r="68" spans="1:8" x14ac:dyDescent="0.25">
      <c r="A68" s="5" t="s">
        <v>390</v>
      </c>
      <c r="B68" s="6">
        <v>0.6</v>
      </c>
      <c r="C68" s="5" t="s">
        <v>378</v>
      </c>
      <c r="D68" s="6">
        <v>4590</v>
      </c>
      <c r="E68" s="6">
        <v>2524</v>
      </c>
      <c r="F68" s="5"/>
      <c r="G68" s="5"/>
      <c r="H68" s="5"/>
    </row>
    <row r="69" spans="1:8" x14ac:dyDescent="0.25">
      <c r="A69" s="5" t="s">
        <v>391</v>
      </c>
      <c r="B69" s="6">
        <v>0.36</v>
      </c>
      <c r="C69" s="5" t="s">
        <v>378</v>
      </c>
      <c r="D69" s="6">
        <v>2891</v>
      </c>
      <c r="E69" s="6">
        <v>1590</v>
      </c>
      <c r="F69" s="5"/>
      <c r="G69" s="5"/>
      <c r="H69" s="5"/>
    </row>
    <row r="70" spans="1:8" x14ac:dyDescent="0.25">
      <c r="A70" s="5" t="s">
        <v>428</v>
      </c>
      <c r="B70" s="28">
        <v>1</v>
      </c>
      <c r="C70" s="5" t="s">
        <v>385</v>
      </c>
      <c r="D70" s="6">
        <v>300</v>
      </c>
      <c r="E70" s="6">
        <v>216</v>
      </c>
      <c r="F70" s="5"/>
      <c r="G70" s="5"/>
      <c r="H70" s="5"/>
    </row>
    <row r="71" spans="1:8" x14ac:dyDescent="0.25">
      <c r="A71" s="2" t="s">
        <v>386</v>
      </c>
      <c r="B71" s="2"/>
      <c r="C71" s="2"/>
      <c r="D71" s="2"/>
      <c r="E71" s="3">
        <v>6695</v>
      </c>
      <c r="F71" s="3">
        <v>9445</v>
      </c>
      <c r="G71" s="2" t="s">
        <v>429</v>
      </c>
      <c r="H71" s="2"/>
    </row>
    <row r="72" spans="1:8" x14ac:dyDescent="0.25">
      <c r="A72" s="26" t="s">
        <v>430</v>
      </c>
      <c r="B72" s="26"/>
      <c r="C72" s="26"/>
      <c r="D72" s="26"/>
      <c r="E72" s="26"/>
      <c r="F72" s="27">
        <v>7886</v>
      </c>
      <c r="G72" s="26"/>
      <c r="H72" s="26" t="s">
        <v>400</v>
      </c>
    </row>
    <row r="73" spans="1:8" x14ac:dyDescent="0.25">
      <c r="A73" s="5" t="s">
        <v>406</v>
      </c>
      <c r="B73" s="6">
        <v>0.3</v>
      </c>
      <c r="C73" s="5" t="s">
        <v>378</v>
      </c>
      <c r="D73" s="6">
        <v>4565</v>
      </c>
      <c r="E73" s="6">
        <v>3652</v>
      </c>
      <c r="F73" s="5"/>
      <c r="G73" s="5"/>
      <c r="H73" s="5"/>
    </row>
    <row r="74" spans="1:8" x14ac:dyDescent="0.25">
      <c r="A74" s="5" t="s">
        <v>431</v>
      </c>
      <c r="B74" s="6">
        <v>0.5</v>
      </c>
      <c r="C74" s="5" t="s">
        <v>378</v>
      </c>
      <c r="D74" s="6">
        <v>798</v>
      </c>
      <c r="E74" s="6">
        <v>575</v>
      </c>
      <c r="F74" s="5"/>
      <c r="G74" s="5"/>
      <c r="H74" s="5"/>
    </row>
    <row r="75" spans="1:8" x14ac:dyDescent="0.25">
      <c r="A75" s="5" t="s">
        <v>432</v>
      </c>
      <c r="B75" s="28">
        <v>1</v>
      </c>
      <c r="C75" s="5" t="s">
        <v>385</v>
      </c>
      <c r="D75" s="6">
        <v>400</v>
      </c>
      <c r="E75" s="6">
        <v>288</v>
      </c>
      <c r="F75" s="5"/>
      <c r="G75" s="5"/>
      <c r="H75" s="5"/>
    </row>
    <row r="76" spans="1:8" x14ac:dyDescent="0.25">
      <c r="A76" s="2" t="s">
        <v>386</v>
      </c>
      <c r="B76" s="2"/>
      <c r="C76" s="2"/>
      <c r="D76" s="2"/>
      <c r="E76" s="3">
        <v>4515</v>
      </c>
      <c r="F76" s="3">
        <v>7886</v>
      </c>
      <c r="G76" s="2" t="s">
        <v>433</v>
      </c>
      <c r="H76" s="2"/>
    </row>
    <row r="78" spans="1:8" x14ac:dyDescent="0.25">
      <c r="A78" s="2" t="s">
        <v>434</v>
      </c>
      <c r="B78" s="2"/>
      <c r="C78" s="2"/>
      <c r="D78" s="2"/>
      <c r="E78" s="2"/>
      <c r="F78" s="2"/>
      <c r="G78" s="2" t="s">
        <v>435</v>
      </c>
      <c r="H78" s="2"/>
    </row>
    <row r="79" spans="1:8" x14ac:dyDescent="0.25">
      <c r="A79" s="16" t="s">
        <v>436</v>
      </c>
      <c r="B79" s="16"/>
      <c r="C79" s="16"/>
      <c r="D79" s="16"/>
      <c r="E79" s="16"/>
      <c r="F79" s="16"/>
      <c r="G79" s="16" t="s">
        <v>48</v>
      </c>
      <c r="H79" s="16"/>
    </row>
    <row r="80" spans="1:8" x14ac:dyDescent="0.25">
      <c r="A80" s="45" t="s">
        <v>437</v>
      </c>
      <c r="B80" s="46"/>
      <c r="C80" s="46"/>
      <c r="D80" s="46"/>
      <c r="E80" s="46"/>
      <c r="F80" s="46"/>
      <c r="G80" s="46"/>
      <c r="H80" s="46"/>
    </row>
    <row r="81" spans="1:8" x14ac:dyDescent="0.25">
      <c r="A81" s="45" t="s">
        <v>438</v>
      </c>
      <c r="B81" s="46"/>
      <c r="C81" s="46"/>
      <c r="D81" s="46"/>
      <c r="E81" s="46"/>
      <c r="F81" s="46"/>
      <c r="G81" s="46"/>
      <c r="H81" s="46"/>
    </row>
  </sheetData>
  <mergeCells count="6">
    <mergeCell ref="A1:H1"/>
    <mergeCell ref="A4:H4"/>
    <mergeCell ref="A21:H21"/>
    <mergeCell ref="A81:H81"/>
    <mergeCell ref="A2:H2"/>
    <mergeCell ref="A80:H8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showGridLines="0" workbookViewId="0"/>
  </sheetViews>
  <sheetFormatPr baseColWidth="10" defaultColWidth="9.140625" defaultRowHeight="15" x14ac:dyDescent="0.25"/>
  <cols>
    <col min="1" max="1" width="22" customWidth="1"/>
    <col min="2" max="2" width="16" customWidth="1"/>
    <col min="3" max="3" width="14" customWidth="1"/>
    <col min="4" max="4" width="20" customWidth="1"/>
    <col min="5" max="5" width="16" customWidth="1"/>
    <col min="6" max="6" width="14" customWidth="1"/>
  </cols>
  <sheetData>
    <row r="1" spans="1:6" ht="18.75" x14ac:dyDescent="0.3">
      <c r="A1" s="48" t="s">
        <v>439</v>
      </c>
      <c r="B1" s="46"/>
      <c r="C1" s="46"/>
      <c r="D1" s="46"/>
      <c r="E1" s="46"/>
      <c r="F1" s="46"/>
    </row>
    <row r="3" spans="1:6" ht="15.75" x14ac:dyDescent="0.25">
      <c r="A3" s="29" t="s">
        <v>440</v>
      </c>
    </row>
    <row r="5" spans="1:6" x14ac:dyDescent="0.25">
      <c r="A5" s="1" t="s">
        <v>441</v>
      </c>
      <c r="B5" s="1" t="s">
        <v>442</v>
      </c>
      <c r="C5" s="1" t="s">
        <v>443</v>
      </c>
      <c r="D5" s="1" t="s">
        <v>444</v>
      </c>
      <c r="E5" s="1" t="s">
        <v>445</v>
      </c>
      <c r="F5" s="1" t="s">
        <v>446</v>
      </c>
    </row>
    <row r="6" spans="1:6" x14ac:dyDescent="0.25">
      <c r="A6" s="30" t="s">
        <v>447</v>
      </c>
      <c r="B6" s="30" t="s">
        <v>448</v>
      </c>
      <c r="C6" s="30" t="s">
        <v>449</v>
      </c>
      <c r="D6" s="31">
        <v>-4517736</v>
      </c>
      <c r="E6" s="30" t="s">
        <v>450</v>
      </c>
      <c r="F6" s="30" t="s">
        <v>451</v>
      </c>
    </row>
    <row r="7" spans="1:6" x14ac:dyDescent="0.25">
      <c r="A7" s="30" t="s">
        <v>452</v>
      </c>
      <c r="B7" s="30" t="s">
        <v>453</v>
      </c>
      <c r="C7" s="30" t="s">
        <v>37</v>
      </c>
      <c r="D7" s="31">
        <v>-3965218</v>
      </c>
      <c r="E7" s="30" t="s">
        <v>454</v>
      </c>
      <c r="F7" s="30" t="s">
        <v>451</v>
      </c>
    </row>
    <row r="8" spans="1:6" x14ac:dyDescent="0.25">
      <c r="A8" s="30" t="s">
        <v>455</v>
      </c>
      <c r="B8" s="30" t="s">
        <v>456</v>
      </c>
      <c r="C8" s="30" t="s">
        <v>457</v>
      </c>
      <c r="D8" s="31">
        <v>-3633707</v>
      </c>
      <c r="E8" s="30" t="s">
        <v>192</v>
      </c>
      <c r="F8" s="30" t="s">
        <v>451</v>
      </c>
    </row>
    <row r="9" spans="1:6" x14ac:dyDescent="0.25">
      <c r="A9" s="30" t="s">
        <v>458</v>
      </c>
      <c r="B9" s="30" t="s">
        <v>459</v>
      </c>
      <c r="C9" s="30" t="s">
        <v>460</v>
      </c>
      <c r="D9" s="31">
        <v>-3081190</v>
      </c>
      <c r="E9" s="30" t="s">
        <v>461</v>
      </c>
      <c r="F9" s="30" t="s">
        <v>451</v>
      </c>
    </row>
    <row r="10" spans="1:6" x14ac:dyDescent="0.25">
      <c r="A10" s="30" t="s">
        <v>462</v>
      </c>
      <c r="B10" s="30" t="s">
        <v>463</v>
      </c>
      <c r="C10" s="30" t="s">
        <v>41</v>
      </c>
      <c r="D10" s="31">
        <v>-2749680</v>
      </c>
      <c r="E10" s="30" t="s">
        <v>464</v>
      </c>
      <c r="F10" s="30" t="s">
        <v>451</v>
      </c>
    </row>
    <row r="13" spans="1:6" ht="15.75" x14ac:dyDescent="0.25">
      <c r="A13" s="29" t="s">
        <v>465</v>
      </c>
    </row>
    <row r="14" spans="1:6" x14ac:dyDescent="0.25">
      <c r="A14" s="1" t="s">
        <v>441</v>
      </c>
      <c r="B14" s="1" t="s">
        <v>373</v>
      </c>
      <c r="C14" s="1" t="s">
        <v>443</v>
      </c>
      <c r="D14" s="1" t="s">
        <v>466</v>
      </c>
      <c r="E14" s="1" t="s">
        <v>467</v>
      </c>
      <c r="F14" s="1" t="s">
        <v>446</v>
      </c>
    </row>
    <row r="15" spans="1:6" x14ac:dyDescent="0.25">
      <c r="A15" s="30" t="s">
        <v>447</v>
      </c>
      <c r="B15" s="30" t="s">
        <v>448</v>
      </c>
      <c r="C15" s="30" t="s">
        <v>449</v>
      </c>
      <c r="D15" s="31">
        <v>46556033</v>
      </c>
      <c r="E15" s="30" t="s">
        <v>468</v>
      </c>
      <c r="F15" s="30" t="s">
        <v>200</v>
      </c>
    </row>
    <row r="16" spans="1:6" x14ac:dyDescent="0.25">
      <c r="A16" s="30" t="s">
        <v>452</v>
      </c>
      <c r="B16" s="30" t="s">
        <v>453</v>
      </c>
      <c r="C16" s="30" t="s">
        <v>37</v>
      </c>
      <c r="D16" s="31">
        <v>33422401</v>
      </c>
      <c r="E16" s="30" t="s">
        <v>459</v>
      </c>
      <c r="F16" s="30" t="s">
        <v>200</v>
      </c>
    </row>
    <row r="17" spans="1:6" x14ac:dyDescent="0.25">
      <c r="A17" s="30" t="s">
        <v>455</v>
      </c>
      <c r="B17" s="30" t="s">
        <v>456</v>
      </c>
      <c r="C17" s="30" t="s">
        <v>457</v>
      </c>
      <c r="D17" s="31">
        <v>28584173</v>
      </c>
      <c r="E17" s="30" t="s">
        <v>469</v>
      </c>
      <c r="F17" s="30" t="s">
        <v>200</v>
      </c>
    </row>
    <row r="18" spans="1:6" x14ac:dyDescent="0.25">
      <c r="A18" s="30" t="s">
        <v>458</v>
      </c>
      <c r="B18" s="30" t="s">
        <v>459</v>
      </c>
      <c r="C18" s="30" t="s">
        <v>460</v>
      </c>
      <c r="D18" s="31">
        <v>23028234</v>
      </c>
      <c r="E18" s="30" t="s">
        <v>387</v>
      </c>
      <c r="F18" s="30" t="s">
        <v>200</v>
      </c>
    </row>
    <row r="19" spans="1:6" x14ac:dyDescent="0.25">
      <c r="A19" s="30" t="s">
        <v>462</v>
      </c>
      <c r="B19" s="30" t="s">
        <v>463</v>
      </c>
      <c r="C19" s="30" t="s">
        <v>41</v>
      </c>
      <c r="D19" s="31">
        <v>20623114</v>
      </c>
      <c r="E19" s="30" t="s">
        <v>470</v>
      </c>
      <c r="F19" s="30" t="s">
        <v>200</v>
      </c>
    </row>
    <row r="22" spans="1:6" x14ac:dyDescent="0.25">
      <c r="A22" s="45" t="s">
        <v>471</v>
      </c>
      <c r="B22" s="46"/>
      <c r="C22" s="46"/>
      <c r="D22" s="46"/>
      <c r="E22" s="46"/>
      <c r="F22" s="46"/>
    </row>
  </sheetData>
  <mergeCells count="2">
    <mergeCell ref="A22:F2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5"/>
  <sheetViews>
    <sheetView showGridLines="0" workbookViewId="0"/>
  </sheetViews>
  <sheetFormatPr baseColWidth="10" defaultColWidth="9.140625" defaultRowHeight="15" x14ac:dyDescent="0.25"/>
  <cols>
    <col min="1" max="1" width="38" customWidth="1"/>
    <col min="2" max="2" width="14" customWidth="1"/>
    <col min="3" max="3" width="18" customWidth="1"/>
    <col min="4" max="4" width="14" customWidth="1"/>
    <col min="5" max="5" width="18" customWidth="1"/>
    <col min="6" max="6" width="48" customWidth="1"/>
  </cols>
  <sheetData>
    <row r="1" spans="1:6" ht="18.75" x14ac:dyDescent="0.3">
      <c r="A1" s="48" t="s">
        <v>472</v>
      </c>
      <c r="B1" s="46"/>
      <c r="C1" s="46"/>
      <c r="D1" s="46"/>
      <c r="E1" s="46"/>
      <c r="F1" s="46"/>
    </row>
    <row r="2" spans="1:6" x14ac:dyDescent="0.25">
      <c r="A2" s="45" t="s">
        <v>473</v>
      </c>
      <c r="B2" s="46"/>
      <c r="C2" s="46"/>
      <c r="D2" s="46"/>
      <c r="E2" s="46"/>
      <c r="F2" s="46"/>
    </row>
    <row r="4" spans="1:6" ht="15.75" x14ac:dyDescent="0.25">
      <c r="A4" s="47" t="s">
        <v>474</v>
      </c>
      <c r="B4" s="46"/>
      <c r="C4" s="46"/>
      <c r="D4" s="46"/>
      <c r="E4" s="46"/>
      <c r="F4" s="46"/>
    </row>
    <row r="5" spans="1:6" x14ac:dyDescent="0.25">
      <c r="A5" s="1" t="s">
        <v>475</v>
      </c>
      <c r="B5" s="1" t="s">
        <v>476</v>
      </c>
      <c r="C5" s="1" t="s">
        <v>477</v>
      </c>
      <c r="D5" s="1"/>
      <c r="E5" s="1"/>
      <c r="F5" s="1" t="s">
        <v>478</v>
      </c>
    </row>
    <row r="6" spans="1:6" x14ac:dyDescent="0.25">
      <c r="A6" s="10" t="s">
        <v>479</v>
      </c>
      <c r="B6" s="32">
        <v>0.47065784203983818</v>
      </c>
      <c r="C6" s="11">
        <f>ROUND('Estructura Costos'!B6*B6,0)</f>
        <v>5200932</v>
      </c>
      <c r="D6" s="10"/>
      <c r="E6" s="10"/>
      <c r="F6" s="10" t="s">
        <v>480</v>
      </c>
    </row>
    <row r="7" spans="1:6" x14ac:dyDescent="0.25">
      <c r="A7" s="10" t="s">
        <v>481</v>
      </c>
      <c r="B7" s="32">
        <v>0.32712725079733318</v>
      </c>
      <c r="C7" s="11">
        <f>ROUND('Estructura Costos'!B6*B7,0)</f>
        <v>3614869</v>
      </c>
      <c r="D7" s="10"/>
      <c r="E7" s="10"/>
      <c r="F7" s="10" t="s">
        <v>482</v>
      </c>
    </row>
    <row r="8" spans="1:6" x14ac:dyDescent="0.25">
      <c r="A8" s="10" t="s">
        <v>483</v>
      </c>
      <c r="B8" s="32">
        <v>9.6427235687351939E-2</v>
      </c>
      <c r="C8" s="11">
        <f>ROUND('Estructura Costos'!B6*B8,0)</f>
        <v>1065554</v>
      </c>
      <c r="D8" s="10"/>
      <c r="E8" s="10"/>
      <c r="F8" s="10" t="s">
        <v>484</v>
      </c>
    </row>
    <row r="9" spans="1:6" x14ac:dyDescent="0.25">
      <c r="A9" s="10" t="s">
        <v>485</v>
      </c>
      <c r="B9" s="32">
        <v>0.1057876714754767</v>
      </c>
      <c r="C9" s="11">
        <f>ROUND('Estructura Costos'!B6*B9,0)</f>
        <v>1168990</v>
      </c>
      <c r="D9" s="10"/>
      <c r="E9" s="10"/>
      <c r="F9" s="10" t="s">
        <v>486</v>
      </c>
    </row>
    <row r="10" spans="1:6" x14ac:dyDescent="0.25">
      <c r="A10" s="2" t="s">
        <v>251</v>
      </c>
      <c r="B10" s="33">
        <f>SUM(B6:B9)</f>
        <v>1</v>
      </c>
      <c r="C10" s="3">
        <f>SUM(C6:C9)</f>
        <v>11050345</v>
      </c>
      <c r="D10" s="2"/>
      <c r="E10" s="2"/>
      <c r="F10" s="2" t="s">
        <v>487</v>
      </c>
    </row>
    <row r="12" spans="1:6" ht="15.75" x14ac:dyDescent="0.25">
      <c r="A12" s="47" t="s">
        <v>488</v>
      </c>
      <c r="B12" s="46"/>
      <c r="C12" s="46"/>
      <c r="D12" s="46"/>
      <c r="E12" s="46"/>
      <c r="F12" s="46"/>
    </row>
    <row r="13" spans="1:6" x14ac:dyDescent="0.25">
      <c r="A13" s="45" t="s">
        <v>489</v>
      </c>
      <c r="B13" s="46"/>
      <c r="C13" s="46"/>
      <c r="D13" s="46"/>
      <c r="E13" s="46"/>
      <c r="F13" s="46"/>
    </row>
    <row r="14" spans="1:6" x14ac:dyDescent="0.25">
      <c r="A14" s="1" t="s">
        <v>490</v>
      </c>
      <c r="B14" s="1" t="s">
        <v>491</v>
      </c>
      <c r="C14" s="1" t="s">
        <v>492</v>
      </c>
      <c r="D14" s="1"/>
      <c r="E14" s="1"/>
      <c r="F14" s="1" t="s">
        <v>493</v>
      </c>
    </row>
    <row r="15" spans="1:6" x14ac:dyDescent="0.25">
      <c r="A15" s="5" t="s">
        <v>479</v>
      </c>
      <c r="B15" s="34">
        <v>0</v>
      </c>
      <c r="C15" s="28">
        <v>0</v>
      </c>
      <c r="D15" s="5"/>
      <c r="E15" s="5"/>
      <c r="F15" s="5" t="s">
        <v>494</v>
      </c>
    </row>
    <row r="16" spans="1:6" x14ac:dyDescent="0.25">
      <c r="A16" s="14" t="s">
        <v>481</v>
      </c>
      <c r="B16" s="35">
        <v>1.2E-2</v>
      </c>
      <c r="C16" s="25">
        <v>3</v>
      </c>
      <c r="D16" s="14"/>
      <c r="E16" s="14"/>
      <c r="F16" s="14" t="s">
        <v>495</v>
      </c>
    </row>
    <row r="17" spans="1:6" x14ac:dyDescent="0.25">
      <c r="A17" s="14" t="s">
        <v>483</v>
      </c>
      <c r="B17" s="35">
        <v>0.03</v>
      </c>
      <c r="C17" s="25">
        <v>18</v>
      </c>
      <c r="D17" s="14"/>
      <c r="E17" s="14"/>
      <c r="F17" s="14" t="s">
        <v>495</v>
      </c>
    </row>
    <row r="18" spans="1:6" x14ac:dyDescent="0.25">
      <c r="A18" s="14" t="s">
        <v>485</v>
      </c>
      <c r="B18" s="35">
        <v>1.4999999999999999E-2</v>
      </c>
      <c r="C18" s="25">
        <v>2</v>
      </c>
      <c r="D18" s="14"/>
      <c r="E18" s="14"/>
      <c r="F18" s="14" t="s">
        <v>496</v>
      </c>
    </row>
    <row r="20" spans="1:6" x14ac:dyDescent="0.25">
      <c r="A20" s="14" t="s">
        <v>497</v>
      </c>
      <c r="B20" s="35">
        <v>0.4</v>
      </c>
      <c r="C20" s="14"/>
      <c r="D20" s="14"/>
      <c r="E20" s="14"/>
      <c r="F20" s="14" t="s">
        <v>498</v>
      </c>
    </row>
    <row r="22" spans="1:6" ht="15.75" x14ac:dyDescent="0.25">
      <c r="A22" s="47" t="s">
        <v>499</v>
      </c>
      <c r="B22" s="46"/>
      <c r="C22" s="46"/>
      <c r="D22" s="46"/>
      <c r="E22" s="46"/>
      <c r="F22" s="46"/>
    </row>
    <row r="23" spans="1:6" x14ac:dyDescent="0.25">
      <c r="A23" s="45" t="s">
        <v>500</v>
      </c>
      <c r="B23" s="46"/>
      <c r="C23" s="46"/>
      <c r="D23" s="46"/>
      <c r="E23" s="46"/>
      <c r="F23" s="46"/>
    </row>
    <row r="24" spans="1:6" ht="26.25" x14ac:dyDescent="0.25">
      <c r="A24" s="1" t="s">
        <v>490</v>
      </c>
      <c r="B24" s="1" t="s">
        <v>501</v>
      </c>
      <c r="C24" s="1" t="s">
        <v>502</v>
      </c>
      <c r="D24" s="1" t="s">
        <v>503</v>
      </c>
      <c r="E24" s="1"/>
      <c r="F24" s="1" t="s">
        <v>504</v>
      </c>
    </row>
    <row r="25" spans="1:6" x14ac:dyDescent="0.25">
      <c r="A25" s="5" t="s">
        <v>479</v>
      </c>
      <c r="B25" s="6">
        <f>C6</f>
        <v>5200932</v>
      </c>
      <c r="C25" s="34">
        <f>B15</f>
        <v>0</v>
      </c>
      <c r="D25" s="6">
        <f>ROUND(B25*C25,0)</f>
        <v>0</v>
      </c>
      <c r="E25" s="5"/>
      <c r="F25" s="5" t="s">
        <v>505</v>
      </c>
    </row>
    <row r="26" spans="1:6" x14ac:dyDescent="0.25">
      <c r="A26" s="10" t="s">
        <v>481</v>
      </c>
      <c r="B26" s="11">
        <f>C7</f>
        <v>3614869</v>
      </c>
      <c r="C26" s="36">
        <f>B16</f>
        <v>1.2E-2</v>
      </c>
      <c r="D26" s="11">
        <f>ROUND(B26*C26,0)</f>
        <v>43378</v>
      </c>
      <c r="E26" s="10"/>
      <c r="F26" s="11"/>
    </row>
    <row r="27" spans="1:6" x14ac:dyDescent="0.25">
      <c r="A27" s="10" t="s">
        <v>483</v>
      </c>
      <c r="B27" s="11">
        <f>C8</f>
        <v>1065554</v>
      </c>
      <c r="C27" s="36">
        <f>B17</f>
        <v>0.03</v>
      </c>
      <c r="D27" s="11">
        <f>ROUND(B27*C27,0)</f>
        <v>31967</v>
      </c>
      <c r="E27" s="10"/>
      <c r="F27" s="11"/>
    </row>
    <row r="28" spans="1:6" x14ac:dyDescent="0.25">
      <c r="A28" s="10" t="s">
        <v>485</v>
      </c>
      <c r="B28" s="11">
        <f>C9</f>
        <v>1168990</v>
      </c>
      <c r="C28" s="36">
        <f>B18</f>
        <v>1.4999999999999999E-2</v>
      </c>
      <c r="D28" s="11">
        <f>ROUND(B28*C28,0)</f>
        <v>17535</v>
      </c>
      <c r="E28" s="10"/>
      <c r="F28" s="11"/>
    </row>
    <row r="29" spans="1:6" x14ac:dyDescent="0.25">
      <c r="A29" s="12" t="s">
        <v>506</v>
      </c>
      <c r="B29" s="12"/>
      <c r="C29" s="12"/>
      <c r="D29" s="13">
        <f>SUM(D25:D28)</f>
        <v>92880</v>
      </c>
      <c r="E29" s="12"/>
      <c r="F29" s="12"/>
    </row>
    <row r="31" spans="1:6" ht="15.75" x14ac:dyDescent="0.25">
      <c r="A31" s="47" t="s">
        <v>507</v>
      </c>
      <c r="B31" s="46"/>
      <c r="C31" s="46"/>
      <c r="D31" s="46"/>
      <c r="E31" s="46"/>
      <c r="F31" s="46"/>
    </row>
    <row r="32" spans="1:6" x14ac:dyDescent="0.25">
      <c r="A32" s="45" t="s">
        <v>508</v>
      </c>
      <c r="B32" s="46"/>
      <c r="C32" s="46"/>
      <c r="D32" s="46"/>
      <c r="E32" s="46"/>
      <c r="F32" s="46"/>
    </row>
    <row r="33" spans="1:6" x14ac:dyDescent="0.25">
      <c r="A33" s="1" t="s">
        <v>490</v>
      </c>
      <c r="B33" s="1" t="s">
        <v>509</v>
      </c>
      <c r="C33" s="1" t="s">
        <v>510</v>
      </c>
      <c r="D33" s="1" t="s">
        <v>511</v>
      </c>
      <c r="E33" s="1" t="s">
        <v>512</v>
      </c>
      <c r="F33" s="1" t="s">
        <v>504</v>
      </c>
    </row>
    <row r="34" spans="1:6" x14ac:dyDescent="0.25">
      <c r="A34" s="10" t="s">
        <v>481</v>
      </c>
      <c r="B34" s="11">
        <f>C7</f>
        <v>3614869</v>
      </c>
      <c r="C34" s="36">
        <f>B20</f>
        <v>0.4</v>
      </c>
      <c r="D34" s="11">
        <f>C16</f>
        <v>3</v>
      </c>
      <c r="E34" s="11">
        <f>ROUND(B34*C34*D34/365,0)</f>
        <v>11885</v>
      </c>
      <c r="F34" s="11"/>
    </row>
    <row r="35" spans="1:6" x14ac:dyDescent="0.25">
      <c r="A35" s="10" t="s">
        <v>483</v>
      </c>
      <c r="B35" s="11">
        <f>C8</f>
        <v>1065554</v>
      </c>
      <c r="C35" s="36">
        <f>B20</f>
        <v>0.4</v>
      </c>
      <c r="D35" s="11">
        <f>C17</f>
        <v>18</v>
      </c>
      <c r="E35" s="11">
        <f>ROUND(B35*C35*D35/365,0)</f>
        <v>21019</v>
      </c>
      <c r="F35" s="11"/>
    </row>
    <row r="36" spans="1:6" x14ac:dyDescent="0.25">
      <c r="A36" s="10" t="s">
        <v>485</v>
      </c>
      <c r="B36" s="11">
        <f>C9</f>
        <v>1168990</v>
      </c>
      <c r="C36" s="36">
        <f>B20</f>
        <v>0.4</v>
      </c>
      <c r="D36" s="11">
        <f>C18</f>
        <v>2</v>
      </c>
      <c r="E36" s="11">
        <f>ROUND(B36*C36*D36/365,0)</f>
        <v>2562</v>
      </c>
      <c r="F36" s="11"/>
    </row>
    <row r="37" spans="1:6" x14ac:dyDescent="0.25">
      <c r="A37" s="12" t="s">
        <v>513</v>
      </c>
      <c r="B37" s="12"/>
      <c r="C37" s="12"/>
      <c r="D37" s="12"/>
      <c r="E37" s="13">
        <f>SUM(E34:E36)</f>
        <v>35466</v>
      </c>
      <c r="F37" s="12"/>
    </row>
    <row r="39" spans="1:6" ht="15.75" x14ac:dyDescent="0.25">
      <c r="A39" s="47" t="s">
        <v>514</v>
      </c>
      <c r="B39" s="46"/>
      <c r="C39" s="46"/>
      <c r="D39" s="46"/>
      <c r="E39" s="46"/>
      <c r="F39" s="46"/>
    </row>
    <row r="40" spans="1:6" x14ac:dyDescent="0.25">
      <c r="A40" s="1" t="s">
        <v>3</v>
      </c>
      <c r="B40" s="1" t="s">
        <v>509</v>
      </c>
      <c r="C40" s="1" t="s">
        <v>5</v>
      </c>
      <c r="D40" s="1"/>
      <c r="E40" s="1"/>
      <c r="F40" s="1" t="s">
        <v>515</v>
      </c>
    </row>
    <row r="41" spans="1:6" x14ac:dyDescent="0.25">
      <c r="A41" s="10" t="s">
        <v>516</v>
      </c>
      <c r="B41" s="11">
        <f>'Estructura Costos'!B6</f>
        <v>11050346</v>
      </c>
      <c r="C41" s="10" t="s">
        <v>9</v>
      </c>
      <c r="D41" s="10"/>
      <c r="E41" s="10"/>
      <c r="F41" s="10" t="s">
        <v>517</v>
      </c>
    </row>
    <row r="42" spans="1:6" x14ac:dyDescent="0.25">
      <c r="A42" s="5" t="s">
        <v>518</v>
      </c>
      <c r="B42" s="6">
        <f>-'Estructura Costos'!B6*B6</f>
        <v>-5200932.0021535577</v>
      </c>
      <c r="C42" s="37">
        <f>B6</f>
        <v>0.47065784203983818</v>
      </c>
      <c r="D42" s="5"/>
      <c r="E42" s="5"/>
      <c r="F42" s="5" t="s">
        <v>519</v>
      </c>
    </row>
    <row r="43" spans="1:6" x14ac:dyDescent="0.25">
      <c r="A43" s="16" t="s">
        <v>520</v>
      </c>
      <c r="B43" s="17">
        <f>B41+B42</f>
        <v>5849413.9978464423</v>
      </c>
      <c r="C43" s="38">
        <f>1-B6</f>
        <v>0.52934215796016182</v>
      </c>
      <c r="D43" s="16"/>
      <c r="E43" s="16"/>
      <c r="F43" s="16" t="s">
        <v>521</v>
      </c>
    </row>
    <row r="44" spans="1:6" x14ac:dyDescent="0.25">
      <c r="A44" s="12" t="s">
        <v>522</v>
      </c>
      <c r="B44" s="39">
        <v>1.2E-2</v>
      </c>
      <c r="C44" s="12"/>
      <c r="D44" s="12"/>
      <c r="E44" s="12"/>
      <c r="F44" s="12" t="s">
        <v>523</v>
      </c>
    </row>
    <row r="45" spans="1:6" x14ac:dyDescent="0.25">
      <c r="A45" s="12" t="s">
        <v>524</v>
      </c>
      <c r="B45" s="13">
        <f>ROUND(B43*B44,0)</f>
        <v>70193</v>
      </c>
      <c r="C45" s="40">
        <f>B45/B41</f>
        <v>6.3521087936975005E-3</v>
      </c>
      <c r="D45" s="12"/>
      <c r="E45" s="12"/>
      <c r="F45" s="12" t="s">
        <v>525</v>
      </c>
    </row>
    <row r="47" spans="1:6" ht="15.75" x14ac:dyDescent="0.25">
      <c r="A47" s="47" t="s">
        <v>526</v>
      </c>
      <c r="B47" s="46"/>
      <c r="C47" s="46"/>
      <c r="D47" s="46"/>
      <c r="E47" s="46"/>
      <c r="F47" s="46"/>
    </row>
    <row r="48" spans="1:6" x14ac:dyDescent="0.25">
      <c r="A48" s="1" t="s">
        <v>3</v>
      </c>
      <c r="B48" s="1" t="s">
        <v>527</v>
      </c>
      <c r="C48" s="1" t="s">
        <v>5</v>
      </c>
      <c r="D48" s="1"/>
      <c r="E48" s="1"/>
      <c r="F48" s="1" t="s">
        <v>528</v>
      </c>
    </row>
    <row r="49" spans="1:6" x14ac:dyDescent="0.25">
      <c r="A49" s="10" t="s">
        <v>529</v>
      </c>
      <c r="B49" s="11">
        <f>D29</f>
        <v>92880</v>
      </c>
      <c r="C49" s="32">
        <f>B49/'Estructura Costos'!B6</f>
        <v>8.4051666798487575E-3</v>
      </c>
      <c r="D49" s="10"/>
      <c r="E49" s="10"/>
      <c r="F49" s="10" t="s">
        <v>530</v>
      </c>
    </row>
    <row r="50" spans="1:6" x14ac:dyDescent="0.25">
      <c r="A50" s="10" t="s">
        <v>531</v>
      </c>
      <c r="B50" s="11">
        <f>E37</f>
        <v>35466</v>
      </c>
      <c r="C50" s="32">
        <f>B50/'Estructura Costos'!B6</f>
        <v>3.2094922638621452E-3</v>
      </c>
      <c r="D50" s="10"/>
      <c r="E50" s="10"/>
      <c r="F50" s="10" t="s">
        <v>532</v>
      </c>
    </row>
    <row r="51" spans="1:6" x14ac:dyDescent="0.25">
      <c r="A51" s="10" t="s">
        <v>533</v>
      </c>
      <c r="B51" s="11">
        <f>B45</f>
        <v>70193</v>
      </c>
      <c r="C51" s="32">
        <f>B51/'Estructura Costos'!B6</f>
        <v>6.3521087936975005E-3</v>
      </c>
      <c r="D51" s="10"/>
      <c r="E51" s="10"/>
      <c r="F51" s="10" t="s">
        <v>534</v>
      </c>
    </row>
    <row r="52" spans="1:6" x14ac:dyDescent="0.25">
      <c r="A52" s="7" t="s">
        <v>535</v>
      </c>
      <c r="B52" s="8">
        <f>SUM(B49:B51)</f>
        <v>198539</v>
      </c>
      <c r="C52" s="41">
        <f>B52/'Estructura Costos'!B6</f>
        <v>1.7966767737408403E-2</v>
      </c>
      <c r="D52" s="7"/>
      <c r="E52" s="7"/>
      <c r="F52" s="7"/>
    </row>
    <row r="54" spans="1:6" x14ac:dyDescent="0.25">
      <c r="A54" s="45" t="s">
        <v>536</v>
      </c>
      <c r="B54" s="46"/>
      <c r="C54" s="46"/>
      <c r="D54" s="46"/>
      <c r="E54" s="46"/>
      <c r="F54" s="46"/>
    </row>
    <row r="55" spans="1:6" x14ac:dyDescent="0.25">
      <c r="A55" s="45" t="s">
        <v>537</v>
      </c>
      <c r="B55" s="46"/>
      <c r="C55" s="46"/>
      <c r="D55" s="46"/>
      <c r="E55" s="46"/>
      <c r="F55" s="46"/>
    </row>
  </sheetData>
  <mergeCells count="13">
    <mergeCell ref="A55:F55"/>
    <mergeCell ref="A2:F2"/>
    <mergeCell ref="A54:F54"/>
    <mergeCell ref="A47:F47"/>
    <mergeCell ref="A13:F13"/>
    <mergeCell ref="A1:F1"/>
    <mergeCell ref="A23:F23"/>
    <mergeCell ref="A32:F32"/>
    <mergeCell ref="A31:F31"/>
    <mergeCell ref="A22:F22"/>
    <mergeCell ref="A12:F12"/>
    <mergeCell ref="A4:F4"/>
    <mergeCell ref="A39:F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0"/>
  <sheetViews>
    <sheetView showGridLines="0" workbookViewId="0"/>
  </sheetViews>
  <sheetFormatPr baseColWidth="10" defaultColWidth="9.140625" defaultRowHeight="15" x14ac:dyDescent="0.25"/>
  <cols>
    <col min="1" max="1" width="42" customWidth="1"/>
    <col min="2" max="2" width="55" customWidth="1"/>
    <col min="3" max="3" width="18" customWidth="1"/>
    <col min="4" max="4" width="50" customWidth="1"/>
  </cols>
  <sheetData>
    <row r="1" spans="1:4" ht="18.75" x14ac:dyDescent="0.3">
      <c r="A1" s="48" t="s">
        <v>644</v>
      </c>
      <c r="B1" s="46"/>
      <c r="C1" s="46"/>
      <c r="D1" s="46"/>
    </row>
    <row r="2" spans="1:4" x14ac:dyDescent="0.25">
      <c r="A2" s="45" t="s">
        <v>645</v>
      </c>
      <c r="B2" s="46"/>
      <c r="C2" s="46"/>
      <c r="D2" s="46"/>
    </row>
    <row r="4" spans="1:4" ht="15.75" x14ac:dyDescent="0.25">
      <c r="A4" s="47" t="s">
        <v>646</v>
      </c>
      <c r="B4" s="46"/>
      <c r="C4" s="46"/>
      <c r="D4" s="46"/>
    </row>
    <row r="5" spans="1:4" x14ac:dyDescent="0.25">
      <c r="A5" s="1" t="s">
        <v>3</v>
      </c>
      <c r="B5" s="1" t="s">
        <v>647</v>
      </c>
      <c r="C5" s="1" t="s">
        <v>648</v>
      </c>
      <c r="D5" s="1" t="s">
        <v>515</v>
      </c>
    </row>
    <row r="6" spans="1:4" x14ac:dyDescent="0.25">
      <c r="A6" s="10" t="s">
        <v>649</v>
      </c>
      <c r="B6" s="10" t="s">
        <v>650</v>
      </c>
      <c r="C6" s="11">
        <v>11369307</v>
      </c>
      <c r="D6" s="10" t="s">
        <v>651</v>
      </c>
    </row>
    <row r="7" spans="1:4" x14ac:dyDescent="0.25">
      <c r="A7" s="10" t="s">
        <v>652</v>
      </c>
      <c r="B7" s="10" t="s">
        <v>653</v>
      </c>
      <c r="C7" s="11">
        <v>366752</v>
      </c>
      <c r="D7" s="10" t="s">
        <v>654</v>
      </c>
    </row>
    <row r="8" spans="1:4" x14ac:dyDescent="0.25">
      <c r="A8" s="5" t="s">
        <v>655</v>
      </c>
      <c r="B8" s="5" t="s">
        <v>656</v>
      </c>
      <c r="C8" s="5"/>
      <c r="D8" s="5" t="s">
        <v>657</v>
      </c>
    </row>
    <row r="9" spans="1:4" x14ac:dyDescent="0.25">
      <c r="A9" s="5" t="s">
        <v>658</v>
      </c>
      <c r="B9" s="5" t="s">
        <v>659</v>
      </c>
      <c r="C9" s="5"/>
      <c r="D9" s="5" t="s">
        <v>657</v>
      </c>
    </row>
    <row r="10" spans="1:4" x14ac:dyDescent="0.25">
      <c r="A10" s="5" t="s">
        <v>660</v>
      </c>
      <c r="B10" s="5" t="s">
        <v>661</v>
      </c>
      <c r="C10" s="5"/>
      <c r="D10" s="5" t="s">
        <v>657</v>
      </c>
    </row>
    <row r="11" spans="1:4" x14ac:dyDescent="0.25">
      <c r="A11" s="5" t="s">
        <v>662</v>
      </c>
      <c r="B11" s="5" t="s">
        <v>663</v>
      </c>
      <c r="C11" s="5"/>
      <c r="D11" s="5" t="s">
        <v>657</v>
      </c>
    </row>
    <row r="12" spans="1:4" x14ac:dyDescent="0.25">
      <c r="A12" s="5" t="s">
        <v>664</v>
      </c>
      <c r="B12" s="5" t="s">
        <v>665</v>
      </c>
      <c r="C12" s="5"/>
      <c r="D12" s="5" t="s">
        <v>657</v>
      </c>
    </row>
    <row r="13" spans="1:4" x14ac:dyDescent="0.25">
      <c r="A13" s="5" t="s">
        <v>666</v>
      </c>
      <c r="B13" s="5" t="s">
        <v>667</v>
      </c>
      <c r="C13" s="5"/>
      <c r="D13" s="5" t="s">
        <v>657</v>
      </c>
    </row>
    <row r="14" spans="1:4" x14ac:dyDescent="0.25">
      <c r="A14" s="5" t="s">
        <v>668</v>
      </c>
      <c r="B14" s="5" t="s">
        <v>669</v>
      </c>
      <c r="C14" s="5"/>
      <c r="D14" s="5" t="s">
        <v>657</v>
      </c>
    </row>
    <row r="15" spans="1:4" x14ac:dyDescent="0.25">
      <c r="A15" s="5" t="s">
        <v>670</v>
      </c>
      <c r="B15" s="5" t="s">
        <v>671</v>
      </c>
      <c r="C15" s="5"/>
      <c r="D15" s="5" t="s">
        <v>657</v>
      </c>
    </row>
    <row r="16" spans="1:4" x14ac:dyDescent="0.25">
      <c r="A16" s="5" t="s">
        <v>672</v>
      </c>
      <c r="B16" s="5" t="s">
        <v>673</v>
      </c>
      <c r="C16" s="5"/>
      <c r="D16" s="5" t="s">
        <v>657</v>
      </c>
    </row>
    <row r="17" spans="1:4" x14ac:dyDescent="0.25">
      <c r="A17" s="5" t="s">
        <v>674</v>
      </c>
      <c r="B17" s="5" t="s">
        <v>675</v>
      </c>
      <c r="C17" s="5"/>
      <c r="D17" s="5" t="s">
        <v>657</v>
      </c>
    </row>
    <row r="18" spans="1:4" x14ac:dyDescent="0.25">
      <c r="A18" s="10" t="s">
        <v>676</v>
      </c>
      <c r="B18" s="10" t="s">
        <v>677</v>
      </c>
      <c r="C18" s="10"/>
      <c r="D18" s="10" t="s">
        <v>678</v>
      </c>
    </row>
    <row r="19" spans="1:4" x14ac:dyDescent="0.25">
      <c r="A19" s="2" t="s">
        <v>679</v>
      </c>
      <c r="B19" s="2" t="s">
        <v>680</v>
      </c>
      <c r="C19" s="3">
        <v>11050346</v>
      </c>
      <c r="D19" s="2" t="s">
        <v>681</v>
      </c>
    </row>
    <row r="20" spans="1:4" x14ac:dyDescent="0.25">
      <c r="A20" s="45" t="s">
        <v>682</v>
      </c>
      <c r="B20" s="46"/>
      <c r="C20" s="46"/>
      <c r="D20" s="46"/>
    </row>
    <row r="22" spans="1:4" ht="15.75" x14ac:dyDescent="0.25">
      <c r="A22" s="47" t="s">
        <v>683</v>
      </c>
      <c r="B22" s="46"/>
      <c r="C22" s="46"/>
      <c r="D22" s="46"/>
    </row>
    <row r="23" spans="1:4" x14ac:dyDescent="0.25">
      <c r="A23" s="1" t="s">
        <v>3</v>
      </c>
      <c r="B23" s="1" t="s">
        <v>647</v>
      </c>
      <c r="C23" s="1" t="s">
        <v>648</v>
      </c>
      <c r="D23" s="1" t="s">
        <v>515</v>
      </c>
    </row>
    <row r="24" spans="1:4" x14ac:dyDescent="0.25">
      <c r="A24" s="10" t="s">
        <v>684</v>
      </c>
      <c r="B24" s="10" t="s">
        <v>685</v>
      </c>
      <c r="C24" s="10"/>
      <c r="D24" s="10" t="s">
        <v>686</v>
      </c>
    </row>
    <row r="25" spans="1:4" x14ac:dyDescent="0.25">
      <c r="A25" s="10" t="s">
        <v>687</v>
      </c>
      <c r="B25" s="10" t="s">
        <v>688</v>
      </c>
      <c r="C25" s="11">
        <v>-7735242</v>
      </c>
      <c r="D25" s="10" t="s">
        <v>689</v>
      </c>
    </row>
    <row r="26" spans="1:4" x14ac:dyDescent="0.25">
      <c r="A26" s="2" t="s">
        <v>47</v>
      </c>
      <c r="B26" s="2" t="s">
        <v>690</v>
      </c>
      <c r="C26" s="3">
        <v>3315104</v>
      </c>
      <c r="D26" s="2" t="s">
        <v>691</v>
      </c>
    </row>
    <row r="28" spans="1:4" ht="15.75" x14ac:dyDescent="0.25">
      <c r="A28" s="47" t="s">
        <v>692</v>
      </c>
      <c r="B28" s="46"/>
      <c r="C28" s="46"/>
      <c r="D28" s="46"/>
    </row>
    <row r="29" spans="1:4" x14ac:dyDescent="0.25">
      <c r="A29" s="1" t="s">
        <v>3</v>
      </c>
      <c r="B29" s="1" t="s">
        <v>647</v>
      </c>
      <c r="C29" s="1" t="s">
        <v>648</v>
      </c>
      <c r="D29" s="1" t="s">
        <v>515</v>
      </c>
    </row>
    <row r="30" spans="1:4" x14ac:dyDescent="0.25">
      <c r="A30" s="10" t="s">
        <v>693</v>
      </c>
      <c r="B30" s="10" t="s">
        <v>694</v>
      </c>
      <c r="C30" s="11">
        <v>1080274</v>
      </c>
      <c r="D30" s="10" t="s">
        <v>695</v>
      </c>
    </row>
    <row r="31" spans="1:4" x14ac:dyDescent="0.25">
      <c r="A31" s="10" t="s">
        <v>696</v>
      </c>
      <c r="B31" s="10" t="s">
        <v>697</v>
      </c>
      <c r="C31" s="11">
        <v>100000</v>
      </c>
      <c r="D31" s="10" t="s">
        <v>698</v>
      </c>
    </row>
    <row r="32" spans="1:4" x14ac:dyDescent="0.25">
      <c r="A32" s="10" t="s">
        <v>699</v>
      </c>
      <c r="B32" s="10" t="s">
        <v>700</v>
      </c>
      <c r="C32" s="11">
        <v>1180274</v>
      </c>
      <c r="D32" s="10" t="s">
        <v>701</v>
      </c>
    </row>
    <row r="33" spans="1:4" x14ac:dyDescent="0.25">
      <c r="A33" s="16" t="s">
        <v>702</v>
      </c>
      <c r="B33" s="16" t="s">
        <v>703</v>
      </c>
      <c r="C33" s="17">
        <v>-3540822</v>
      </c>
      <c r="D33" s="16" t="s">
        <v>704</v>
      </c>
    </row>
    <row r="35" spans="1:4" x14ac:dyDescent="0.25">
      <c r="A35" s="45" t="s">
        <v>705</v>
      </c>
      <c r="B35" s="46"/>
      <c r="C35" s="46"/>
      <c r="D35" s="46"/>
    </row>
    <row r="36" spans="1:4" x14ac:dyDescent="0.25">
      <c r="A36" s="10" t="s">
        <v>706</v>
      </c>
      <c r="B36" s="10" t="s">
        <v>707</v>
      </c>
      <c r="C36" s="11">
        <v>-411908</v>
      </c>
      <c r="D36" s="10" t="s">
        <v>708</v>
      </c>
    </row>
    <row r="37" spans="1:4" x14ac:dyDescent="0.25">
      <c r="A37" s="10" t="s">
        <v>709</v>
      </c>
      <c r="B37" s="10" t="s">
        <v>710</v>
      </c>
      <c r="C37" s="11">
        <v>-51205</v>
      </c>
      <c r="D37" s="10" t="s">
        <v>711</v>
      </c>
    </row>
    <row r="38" spans="1:4" x14ac:dyDescent="0.25">
      <c r="A38" s="10" t="s">
        <v>712</v>
      </c>
      <c r="B38" s="10" t="s">
        <v>713</v>
      </c>
      <c r="C38" s="11">
        <v>-180190</v>
      </c>
      <c r="D38" s="10" t="s">
        <v>714</v>
      </c>
    </row>
    <row r="39" spans="1:4" x14ac:dyDescent="0.25">
      <c r="A39" s="10" t="s">
        <v>715</v>
      </c>
      <c r="B39" s="10" t="s">
        <v>716</v>
      </c>
      <c r="C39" s="11">
        <v>-28843</v>
      </c>
      <c r="D39" s="10" t="s">
        <v>717</v>
      </c>
    </row>
    <row r="40" spans="1:4" x14ac:dyDescent="0.25">
      <c r="A40" s="10" t="s">
        <v>718</v>
      </c>
      <c r="B40" s="10" t="s">
        <v>719</v>
      </c>
      <c r="C40" s="11">
        <v>-194449</v>
      </c>
      <c r="D40" s="10" t="s">
        <v>720</v>
      </c>
    </row>
    <row r="41" spans="1:4" x14ac:dyDescent="0.25">
      <c r="A41" s="10" t="s">
        <v>721</v>
      </c>
      <c r="B41" s="10" t="s">
        <v>722</v>
      </c>
      <c r="C41" s="11">
        <v>-97225</v>
      </c>
      <c r="D41" s="10" t="s">
        <v>723</v>
      </c>
    </row>
    <row r="42" spans="1:4" x14ac:dyDescent="0.25">
      <c r="A42" s="16" t="s">
        <v>724</v>
      </c>
      <c r="B42" s="16" t="s">
        <v>725</v>
      </c>
      <c r="C42" s="17">
        <v>-963820</v>
      </c>
      <c r="D42" s="16" t="s">
        <v>726</v>
      </c>
    </row>
    <row r="43" spans="1:4" x14ac:dyDescent="0.25">
      <c r="A43" s="45" t="s">
        <v>727</v>
      </c>
      <c r="B43" s="46"/>
      <c r="C43" s="46"/>
      <c r="D43" s="46"/>
    </row>
    <row r="45" spans="1:4" x14ac:dyDescent="0.25">
      <c r="A45" s="10" t="s">
        <v>728</v>
      </c>
      <c r="B45" s="10" t="s">
        <v>729</v>
      </c>
      <c r="C45" s="11">
        <v>-270069</v>
      </c>
      <c r="D45" s="10" t="s">
        <v>730</v>
      </c>
    </row>
    <row r="46" spans="1:4" x14ac:dyDescent="0.25">
      <c r="A46" s="10" t="s">
        <v>731</v>
      </c>
      <c r="B46" s="10" t="s">
        <v>732</v>
      </c>
      <c r="C46" s="11">
        <v>-80319</v>
      </c>
      <c r="D46" s="10" t="s">
        <v>733</v>
      </c>
    </row>
    <row r="47" spans="1:4" x14ac:dyDescent="0.25">
      <c r="A47" s="16" t="s">
        <v>734</v>
      </c>
      <c r="B47" s="16" t="s">
        <v>735</v>
      </c>
      <c r="C47" s="17">
        <v>-350388</v>
      </c>
      <c r="D47" s="16" t="s">
        <v>736</v>
      </c>
    </row>
    <row r="49" spans="1:4" x14ac:dyDescent="0.25">
      <c r="A49" s="10" t="s">
        <v>737</v>
      </c>
      <c r="B49" s="10" t="s">
        <v>738</v>
      </c>
      <c r="C49" s="10"/>
      <c r="D49" s="10" t="s">
        <v>739</v>
      </c>
    </row>
    <row r="50" spans="1:4" x14ac:dyDescent="0.25">
      <c r="A50" s="16" t="s">
        <v>740</v>
      </c>
      <c r="B50" s="16" t="s">
        <v>741</v>
      </c>
      <c r="C50" s="17">
        <v>-379586</v>
      </c>
      <c r="D50" s="16" t="s">
        <v>742</v>
      </c>
    </row>
    <row r="52" spans="1:4" x14ac:dyDescent="0.25">
      <c r="A52" s="10" t="s">
        <v>88</v>
      </c>
      <c r="B52" s="10" t="s">
        <v>743</v>
      </c>
      <c r="C52" s="11">
        <v>-1500</v>
      </c>
      <c r="D52" s="10" t="s">
        <v>744</v>
      </c>
    </row>
    <row r="54" spans="1:4" x14ac:dyDescent="0.25">
      <c r="A54" s="10" t="s">
        <v>745</v>
      </c>
      <c r="B54" s="10" t="s">
        <v>746</v>
      </c>
      <c r="C54" s="10"/>
      <c r="D54" s="10" t="s">
        <v>747</v>
      </c>
    </row>
    <row r="55" spans="1:4" x14ac:dyDescent="0.25">
      <c r="A55" s="10" t="s">
        <v>748</v>
      </c>
      <c r="B55" s="10" t="s">
        <v>749</v>
      </c>
      <c r="C55" s="10"/>
      <c r="D55" s="10" t="s">
        <v>750</v>
      </c>
    </row>
    <row r="56" spans="1:4" x14ac:dyDescent="0.25">
      <c r="A56" s="10" t="s">
        <v>751</v>
      </c>
      <c r="B56" s="10" t="s">
        <v>752</v>
      </c>
      <c r="C56" s="11">
        <v>-151239</v>
      </c>
      <c r="D56" s="10" t="s">
        <v>753</v>
      </c>
    </row>
    <row r="57" spans="1:4" x14ac:dyDescent="0.25">
      <c r="A57" s="10" t="s">
        <v>754</v>
      </c>
      <c r="B57" s="10" t="s">
        <v>755</v>
      </c>
      <c r="C57" s="11">
        <v>-44978</v>
      </c>
      <c r="D57" s="10" t="s">
        <v>756</v>
      </c>
    </row>
    <row r="58" spans="1:4" x14ac:dyDescent="0.25">
      <c r="A58" s="16" t="s">
        <v>757</v>
      </c>
      <c r="B58" s="16" t="s">
        <v>758</v>
      </c>
      <c r="C58" s="17">
        <v>-196217</v>
      </c>
      <c r="D58" s="16" t="s">
        <v>759</v>
      </c>
    </row>
    <row r="60" spans="1:4" x14ac:dyDescent="0.25">
      <c r="A60" s="12" t="s">
        <v>760</v>
      </c>
      <c r="B60" s="12" t="s">
        <v>761</v>
      </c>
      <c r="C60" s="13">
        <v>-5432333</v>
      </c>
      <c r="D60" s="12"/>
    </row>
    <row r="62" spans="1:4" ht="15.75" x14ac:dyDescent="0.25">
      <c r="A62" s="47" t="s">
        <v>762</v>
      </c>
      <c r="B62" s="46"/>
      <c r="C62" s="46"/>
      <c r="D62" s="46"/>
    </row>
    <row r="63" spans="1:4" x14ac:dyDescent="0.25">
      <c r="A63" s="1" t="s">
        <v>3</v>
      </c>
      <c r="B63" s="1" t="s">
        <v>647</v>
      </c>
      <c r="C63" s="1" t="s">
        <v>648</v>
      </c>
      <c r="D63" s="1" t="s">
        <v>515</v>
      </c>
    </row>
    <row r="64" spans="1:4" x14ac:dyDescent="0.25">
      <c r="A64" s="10" t="s">
        <v>763</v>
      </c>
      <c r="B64" s="10" t="s">
        <v>764</v>
      </c>
      <c r="C64" s="10"/>
      <c r="D64" s="10" t="s">
        <v>765</v>
      </c>
    </row>
    <row r="65" spans="1:4" x14ac:dyDescent="0.25">
      <c r="A65" s="10" t="s">
        <v>766</v>
      </c>
      <c r="B65" s="10" t="s">
        <v>767</v>
      </c>
      <c r="C65" s="10"/>
      <c r="D65" s="10" t="s">
        <v>768</v>
      </c>
    </row>
    <row r="66" spans="1:4" x14ac:dyDescent="0.25">
      <c r="A66" s="10" t="s">
        <v>769</v>
      </c>
      <c r="B66" s="10" t="s">
        <v>770</v>
      </c>
      <c r="C66" s="10"/>
      <c r="D66" s="10"/>
    </row>
    <row r="67" spans="1:4" x14ac:dyDescent="0.25">
      <c r="A67" s="10" t="s">
        <v>771</v>
      </c>
      <c r="B67" s="10" t="s">
        <v>772</v>
      </c>
      <c r="C67" s="10"/>
      <c r="D67" s="10" t="s">
        <v>773</v>
      </c>
    </row>
    <row r="68" spans="1:4" x14ac:dyDescent="0.25">
      <c r="A68" s="16" t="s">
        <v>774</v>
      </c>
      <c r="B68" s="16" t="s">
        <v>775</v>
      </c>
      <c r="C68" s="17">
        <v>-132909</v>
      </c>
      <c r="D68" s="16" t="s">
        <v>776</v>
      </c>
    </row>
    <row r="70" spans="1:4" x14ac:dyDescent="0.25">
      <c r="A70" s="10" t="s">
        <v>777</v>
      </c>
      <c r="B70" s="10" t="s">
        <v>778</v>
      </c>
      <c r="C70" s="10"/>
      <c r="D70" s="10" t="s">
        <v>779</v>
      </c>
    </row>
    <row r="71" spans="1:4" x14ac:dyDescent="0.25">
      <c r="A71" s="10" t="s">
        <v>780</v>
      </c>
      <c r="B71" s="10" t="s">
        <v>781</v>
      </c>
      <c r="C71" s="10"/>
      <c r="D71" s="10" t="s">
        <v>782</v>
      </c>
    </row>
    <row r="72" spans="1:4" x14ac:dyDescent="0.25">
      <c r="A72" s="10" t="s">
        <v>783</v>
      </c>
      <c r="B72" s="10" t="s">
        <v>784</v>
      </c>
      <c r="C72" s="10"/>
      <c r="D72" s="10" t="s">
        <v>785</v>
      </c>
    </row>
    <row r="73" spans="1:4" x14ac:dyDescent="0.25">
      <c r="A73" s="16" t="s">
        <v>786</v>
      </c>
      <c r="B73" s="16" t="s">
        <v>787</v>
      </c>
      <c r="C73" s="17">
        <v>-173537</v>
      </c>
      <c r="D73" s="16" t="s">
        <v>788</v>
      </c>
    </row>
    <row r="75" spans="1:4" x14ac:dyDescent="0.25">
      <c r="A75" s="12" t="s">
        <v>789</v>
      </c>
      <c r="B75" s="12" t="s">
        <v>790</v>
      </c>
      <c r="C75" s="13">
        <v>-306446</v>
      </c>
      <c r="D75" s="12"/>
    </row>
    <row r="77" spans="1:4" ht="15.75" x14ac:dyDescent="0.25">
      <c r="A77" s="47" t="s">
        <v>791</v>
      </c>
      <c r="B77" s="46"/>
      <c r="C77" s="46"/>
      <c r="D77" s="46"/>
    </row>
    <row r="78" spans="1:4" x14ac:dyDescent="0.25">
      <c r="A78" s="1" t="s">
        <v>3</v>
      </c>
      <c r="B78" s="1" t="s">
        <v>647</v>
      </c>
      <c r="C78" s="1" t="s">
        <v>648</v>
      </c>
      <c r="D78" s="1" t="s">
        <v>515</v>
      </c>
    </row>
    <row r="79" spans="1:4" x14ac:dyDescent="0.25">
      <c r="A79" s="10" t="s">
        <v>792</v>
      </c>
      <c r="B79" s="10" t="s">
        <v>793</v>
      </c>
      <c r="C79" s="11">
        <v>-31967</v>
      </c>
      <c r="D79" s="10" t="s">
        <v>794</v>
      </c>
    </row>
    <row r="80" spans="1:4" x14ac:dyDescent="0.25">
      <c r="A80" s="10" t="s">
        <v>795</v>
      </c>
      <c r="B80" s="10" t="s">
        <v>796</v>
      </c>
      <c r="C80" s="11">
        <v>-43378</v>
      </c>
      <c r="D80" s="10" t="s">
        <v>797</v>
      </c>
    </row>
    <row r="81" spans="1:4" x14ac:dyDescent="0.25">
      <c r="A81" s="10" t="s">
        <v>798</v>
      </c>
      <c r="B81" s="10" t="s">
        <v>799</v>
      </c>
      <c r="C81" s="11">
        <v>-17535</v>
      </c>
      <c r="D81" s="10" t="s">
        <v>800</v>
      </c>
    </row>
    <row r="82" spans="1:4" x14ac:dyDescent="0.25">
      <c r="A82" s="16" t="s">
        <v>801</v>
      </c>
      <c r="B82" s="16" t="s">
        <v>802</v>
      </c>
      <c r="C82" s="17">
        <v>-92880</v>
      </c>
      <c r="D82" s="16"/>
    </row>
    <row r="84" spans="1:4" x14ac:dyDescent="0.25">
      <c r="A84" s="10" t="s">
        <v>803</v>
      </c>
      <c r="B84" s="10" t="s">
        <v>804</v>
      </c>
      <c r="C84" s="10"/>
      <c r="D84" s="10" t="s">
        <v>805</v>
      </c>
    </row>
    <row r="85" spans="1:4" x14ac:dyDescent="0.25">
      <c r="A85" s="16" t="s">
        <v>806</v>
      </c>
      <c r="B85" s="16" t="s">
        <v>807</v>
      </c>
      <c r="C85" s="17">
        <v>-273976</v>
      </c>
      <c r="D85" s="16" t="s">
        <v>808</v>
      </c>
    </row>
    <row r="87" spans="1:4" x14ac:dyDescent="0.25">
      <c r="A87" s="10" t="s">
        <v>809</v>
      </c>
      <c r="B87" s="10" t="s">
        <v>810</v>
      </c>
      <c r="C87" s="10"/>
      <c r="D87" s="10" t="s">
        <v>811</v>
      </c>
    </row>
    <row r="88" spans="1:4" x14ac:dyDescent="0.25">
      <c r="A88" s="16" t="s">
        <v>812</v>
      </c>
      <c r="B88" s="16" t="s">
        <v>813</v>
      </c>
      <c r="C88" s="17">
        <v>-70193</v>
      </c>
      <c r="D88" s="16" t="s">
        <v>814</v>
      </c>
    </row>
    <row r="90" spans="1:4" x14ac:dyDescent="0.25">
      <c r="A90" s="16" t="s">
        <v>815</v>
      </c>
      <c r="B90" s="16" t="s">
        <v>816</v>
      </c>
      <c r="C90" s="17">
        <v>-552517</v>
      </c>
      <c r="D90" s="16" t="s">
        <v>817</v>
      </c>
    </row>
    <row r="92" spans="1:4" x14ac:dyDescent="0.25">
      <c r="A92" s="10" t="s">
        <v>818</v>
      </c>
      <c r="B92" s="10" t="s">
        <v>819</v>
      </c>
      <c r="C92" s="11">
        <v>-21019</v>
      </c>
      <c r="D92" s="10" t="s">
        <v>820</v>
      </c>
    </row>
    <row r="93" spans="1:4" x14ac:dyDescent="0.25">
      <c r="A93" s="10" t="s">
        <v>821</v>
      </c>
      <c r="B93" s="10" t="s">
        <v>822</v>
      </c>
      <c r="C93" s="11">
        <v>-11885</v>
      </c>
      <c r="D93" s="10" t="s">
        <v>823</v>
      </c>
    </row>
    <row r="94" spans="1:4" x14ac:dyDescent="0.25">
      <c r="A94" s="10" t="s">
        <v>824</v>
      </c>
      <c r="B94" s="10" t="s">
        <v>825</v>
      </c>
      <c r="C94" s="11">
        <v>-2562</v>
      </c>
      <c r="D94" s="10" t="s">
        <v>826</v>
      </c>
    </row>
    <row r="95" spans="1:4" x14ac:dyDescent="0.25">
      <c r="A95" s="16" t="s">
        <v>827</v>
      </c>
      <c r="B95" s="16" t="s">
        <v>828</v>
      </c>
      <c r="C95" s="17">
        <v>-35466</v>
      </c>
      <c r="D95" s="16" t="s">
        <v>829</v>
      </c>
    </row>
    <row r="97" spans="1:4" x14ac:dyDescent="0.25">
      <c r="A97" s="12" t="s">
        <v>184</v>
      </c>
      <c r="B97" s="12" t="s">
        <v>830</v>
      </c>
      <c r="C97" s="13">
        <v>-1025032</v>
      </c>
      <c r="D97" s="12"/>
    </row>
    <row r="99" spans="1:4" ht="15.75" x14ac:dyDescent="0.25">
      <c r="A99" s="47" t="s">
        <v>831</v>
      </c>
      <c r="B99" s="46"/>
      <c r="C99" s="46"/>
      <c r="D99" s="46"/>
    </row>
    <row r="100" spans="1:4" x14ac:dyDescent="0.25">
      <c r="A100" s="1" t="s">
        <v>3</v>
      </c>
      <c r="B100" s="1" t="s">
        <v>647</v>
      </c>
      <c r="C100" s="1" t="s">
        <v>648</v>
      </c>
      <c r="D100" s="1" t="s">
        <v>515</v>
      </c>
    </row>
    <row r="101" spans="1:4" x14ac:dyDescent="0.25">
      <c r="A101" s="10" t="s">
        <v>627</v>
      </c>
      <c r="B101" s="10"/>
      <c r="C101" s="11">
        <v>11050346</v>
      </c>
      <c r="D101" s="10" t="s">
        <v>832</v>
      </c>
    </row>
    <row r="102" spans="1:4" x14ac:dyDescent="0.25">
      <c r="A102" s="10" t="s">
        <v>188</v>
      </c>
      <c r="B102" s="10" t="s">
        <v>833</v>
      </c>
      <c r="C102" s="11">
        <v>-7735242</v>
      </c>
      <c r="D102" s="10"/>
    </row>
    <row r="103" spans="1:4" x14ac:dyDescent="0.25">
      <c r="A103" s="16" t="s">
        <v>47</v>
      </c>
      <c r="B103" s="16" t="s">
        <v>834</v>
      </c>
      <c r="C103" s="17">
        <v>3315104</v>
      </c>
      <c r="D103" s="16"/>
    </row>
    <row r="104" spans="1:4" x14ac:dyDescent="0.25">
      <c r="A104" s="10" t="s">
        <v>189</v>
      </c>
      <c r="B104" s="10" t="s">
        <v>835</v>
      </c>
      <c r="C104" s="11">
        <v>-5923779</v>
      </c>
      <c r="D104" s="10"/>
    </row>
    <row r="105" spans="1:4" x14ac:dyDescent="0.25">
      <c r="A105" s="10" t="s">
        <v>190</v>
      </c>
      <c r="B105" s="10" t="s">
        <v>836</v>
      </c>
      <c r="C105" s="11">
        <v>-1025032</v>
      </c>
      <c r="D105" s="10"/>
    </row>
    <row r="106" spans="1:4" x14ac:dyDescent="0.25">
      <c r="A106" s="18" t="s">
        <v>837</v>
      </c>
      <c r="B106" s="18" t="s">
        <v>838</v>
      </c>
      <c r="C106" s="19">
        <v>-3633707</v>
      </c>
      <c r="D106" s="18" t="s">
        <v>839</v>
      </c>
    </row>
    <row r="108" spans="1:4" x14ac:dyDescent="0.25">
      <c r="A108" s="10" t="s">
        <v>840</v>
      </c>
      <c r="B108" s="10" t="s">
        <v>841</v>
      </c>
      <c r="C108" s="10"/>
      <c r="D108" s="10" t="s">
        <v>842</v>
      </c>
    </row>
    <row r="109" spans="1:4" x14ac:dyDescent="0.25">
      <c r="A109" s="10" t="s">
        <v>843</v>
      </c>
      <c r="B109" s="10" t="s">
        <v>844</v>
      </c>
      <c r="C109" s="10"/>
      <c r="D109" s="10"/>
    </row>
    <row r="110" spans="1:4" x14ac:dyDescent="0.25">
      <c r="A110" s="10" t="s">
        <v>845</v>
      </c>
      <c r="B110" s="10" t="s">
        <v>846</v>
      </c>
      <c r="C110" s="10"/>
      <c r="D110" s="10" t="s">
        <v>847</v>
      </c>
    </row>
    <row r="111" spans="1:4" x14ac:dyDescent="0.25">
      <c r="A111" s="7" t="s">
        <v>848</v>
      </c>
      <c r="B111" s="7" t="s">
        <v>849</v>
      </c>
      <c r="C111" s="8">
        <v>28584173</v>
      </c>
      <c r="D111" s="7" t="s">
        <v>850</v>
      </c>
    </row>
    <row r="113" spans="1:4" ht="15.75" x14ac:dyDescent="0.25">
      <c r="A113" s="47" t="s">
        <v>851</v>
      </c>
      <c r="B113" s="46"/>
      <c r="C113" s="46"/>
      <c r="D113" s="46"/>
    </row>
    <row r="114" spans="1:4" x14ac:dyDescent="0.25">
      <c r="A114" s="1" t="s">
        <v>3</v>
      </c>
      <c r="B114" s="1" t="s">
        <v>647</v>
      </c>
      <c r="C114" s="1" t="s">
        <v>648</v>
      </c>
      <c r="D114" s="1" t="s">
        <v>515</v>
      </c>
    </row>
    <row r="115" spans="1:4" x14ac:dyDescent="0.25">
      <c r="A115" s="10" t="s">
        <v>852</v>
      </c>
      <c r="B115" s="10" t="s">
        <v>853</v>
      </c>
      <c r="C115" s="10"/>
      <c r="D115" s="10" t="s">
        <v>854</v>
      </c>
    </row>
    <row r="116" spans="1:4" x14ac:dyDescent="0.25">
      <c r="A116" s="10" t="s">
        <v>855</v>
      </c>
      <c r="B116" s="10" t="s">
        <v>856</v>
      </c>
      <c r="C116" s="10"/>
      <c r="D116" s="10" t="s">
        <v>857</v>
      </c>
    </row>
    <row r="117" spans="1:4" x14ac:dyDescent="0.25">
      <c r="A117" s="10" t="s">
        <v>858</v>
      </c>
      <c r="B117" s="10" t="s">
        <v>859</v>
      </c>
      <c r="C117" s="10"/>
      <c r="D117" s="10" t="s">
        <v>860</v>
      </c>
    </row>
    <row r="118" spans="1:4" x14ac:dyDescent="0.25">
      <c r="A118" s="10" t="s">
        <v>861</v>
      </c>
      <c r="B118" s="10" t="s">
        <v>862</v>
      </c>
      <c r="C118" s="10"/>
      <c r="D118" s="10" t="s">
        <v>863</v>
      </c>
    </row>
    <row r="119" spans="1:4" x14ac:dyDescent="0.25">
      <c r="A119" s="10" t="s">
        <v>864</v>
      </c>
      <c r="B119" s="10" t="s">
        <v>865</v>
      </c>
      <c r="C119" s="10"/>
      <c r="D119" s="10" t="s">
        <v>866</v>
      </c>
    </row>
    <row r="120" spans="1:4" x14ac:dyDescent="0.25">
      <c r="A120" s="10" t="s">
        <v>867</v>
      </c>
      <c r="B120" s="10" t="s">
        <v>868</v>
      </c>
      <c r="C120" s="10"/>
      <c r="D120" s="10" t="s">
        <v>869</v>
      </c>
    </row>
    <row r="121" spans="1:4" x14ac:dyDescent="0.25">
      <c r="A121" s="10" t="s">
        <v>870</v>
      </c>
      <c r="B121" s="10" t="s">
        <v>871</v>
      </c>
      <c r="C121" s="10"/>
      <c r="D121" s="10" t="s">
        <v>872</v>
      </c>
    </row>
    <row r="122" spans="1:4" x14ac:dyDescent="0.25">
      <c r="A122" s="10" t="s">
        <v>873</v>
      </c>
      <c r="B122" s="10" t="s">
        <v>874</v>
      </c>
      <c r="C122" s="10"/>
      <c r="D122" s="10" t="s">
        <v>875</v>
      </c>
    </row>
    <row r="123" spans="1:4" x14ac:dyDescent="0.25">
      <c r="A123" s="10" t="s">
        <v>876</v>
      </c>
      <c r="B123" s="10" t="s">
        <v>877</v>
      </c>
      <c r="C123" s="10"/>
      <c r="D123" s="10" t="s">
        <v>878</v>
      </c>
    </row>
    <row r="124" spans="1:4" x14ac:dyDescent="0.25">
      <c r="A124" s="10" t="s">
        <v>879</v>
      </c>
      <c r="B124" s="10" t="s">
        <v>880</v>
      </c>
      <c r="C124" s="10"/>
      <c r="D124" s="10" t="s">
        <v>881</v>
      </c>
    </row>
    <row r="125" spans="1:4" x14ac:dyDescent="0.25">
      <c r="A125" s="10" t="s">
        <v>882</v>
      </c>
      <c r="B125" s="10" t="s">
        <v>883</v>
      </c>
      <c r="C125" s="10"/>
      <c r="D125" s="10" t="s">
        <v>884</v>
      </c>
    </row>
    <row r="126" spans="1:4" x14ac:dyDescent="0.25">
      <c r="A126" s="10" t="s">
        <v>885</v>
      </c>
      <c r="B126" s="10" t="s">
        <v>886</v>
      </c>
      <c r="C126" s="10"/>
      <c r="D126" s="10" t="s">
        <v>887</v>
      </c>
    </row>
    <row r="127" spans="1:4" x14ac:dyDescent="0.25">
      <c r="A127" s="10" t="s">
        <v>888</v>
      </c>
      <c r="B127" s="10" t="s">
        <v>889</v>
      </c>
      <c r="C127" s="10"/>
      <c r="D127" s="10" t="s">
        <v>890</v>
      </c>
    </row>
    <row r="128" spans="1:4" x14ac:dyDescent="0.25">
      <c r="A128" s="10" t="s">
        <v>891</v>
      </c>
      <c r="B128" s="10" t="s">
        <v>892</v>
      </c>
      <c r="C128" s="10"/>
      <c r="D128" s="10" t="s">
        <v>893</v>
      </c>
    </row>
    <row r="129" spans="1:4" x14ac:dyDescent="0.25">
      <c r="A129" s="10" t="s">
        <v>894</v>
      </c>
      <c r="B129" s="10" t="s">
        <v>895</v>
      </c>
      <c r="C129" s="10"/>
      <c r="D129" s="10" t="s">
        <v>896</v>
      </c>
    </row>
    <row r="130" spans="1:4" x14ac:dyDescent="0.25">
      <c r="A130" s="10" t="s">
        <v>897</v>
      </c>
      <c r="B130" s="10" t="s">
        <v>898</v>
      </c>
      <c r="C130" s="10"/>
      <c r="D130" s="10" t="s">
        <v>899</v>
      </c>
    </row>
    <row r="131" spans="1:4" x14ac:dyDescent="0.25">
      <c r="A131" s="10" t="s">
        <v>900</v>
      </c>
      <c r="B131" s="10" t="s">
        <v>901</v>
      </c>
      <c r="C131" s="10"/>
      <c r="D131" s="10" t="s">
        <v>902</v>
      </c>
    </row>
    <row r="132" spans="1:4" x14ac:dyDescent="0.25">
      <c r="A132" s="10" t="s">
        <v>903</v>
      </c>
      <c r="B132" s="10" t="s">
        <v>904</v>
      </c>
      <c r="C132" s="10"/>
      <c r="D132" s="10" t="s">
        <v>905</v>
      </c>
    </row>
    <row r="133" spans="1:4" x14ac:dyDescent="0.25">
      <c r="A133" s="10" t="s">
        <v>906</v>
      </c>
      <c r="B133" s="10" t="s">
        <v>907</v>
      </c>
      <c r="C133" s="10"/>
      <c r="D133" s="10" t="s">
        <v>908</v>
      </c>
    </row>
    <row r="134" spans="1:4" x14ac:dyDescent="0.25">
      <c r="A134" s="10" t="s">
        <v>909</v>
      </c>
      <c r="B134" s="10" t="s">
        <v>910</v>
      </c>
      <c r="C134" s="10"/>
      <c r="D134" s="10" t="s">
        <v>911</v>
      </c>
    </row>
    <row r="135" spans="1:4" x14ac:dyDescent="0.25">
      <c r="A135" s="10" t="s">
        <v>912</v>
      </c>
      <c r="B135" s="10" t="s">
        <v>913</v>
      </c>
      <c r="C135" s="10"/>
      <c r="D135" s="10" t="s">
        <v>914</v>
      </c>
    </row>
    <row r="136" spans="1:4" x14ac:dyDescent="0.25">
      <c r="A136" s="10" t="s">
        <v>915</v>
      </c>
      <c r="B136" s="10" t="s">
        <v>916</v>
      </c>
      <c r="C136" s="10"/>
      <c r="D136" s="10" t="s">
        <v>917</v>
      </c>
    </row>
    <row r="138" spans="1:4" x14ac:dyDescent="0.25">
      <c r="A138" s="45" t="s">
        <v>918</v>
      </c>
      <c r="B138" s="46"/>
      <c r="C138" s="46"/>
      <c r="D138" s="46"/>
    </row>
    <row r="139" spans="1:4" x14ac:dyDescent="0.25">
      <c r="A139" s="45" t="s">
        <v>919</v>
      </c>
      <c r="B139" s="46"/>
      <c r="C139" s="46"/>
      <c r="D139" s="46"/>
    </row>
    <row r="140" spans="1:4" x14ac:dyDescent="0.25">
      <c r="A140" s="45" t="s">
        <v>920</v>
      </c>
      <c r="B140" s="46"/>
      <c r="C140" s="46"/>
      <c r="D140" s="46"/>
    </row>
  </sheetData>
  <mergeCells count="15">
    <mergeCell ref="A139:D139"/>
    <mergeCell ref="A140:D140"/>
    <mergeCell ref="A43:D43"/>
    <mergeCell ref="A113:D113"/>
    <mergeCell ref="A2:D2"/>
    <mergeCell ref="A99:D99"/>
    <mergeCell ref="A28:D28"/>
    <mergeCell ref="A138:D138"/>
    <mergeCell ref="A1:D1"/>
    <mergeCell ref="A22:D22"/>
    <mergeCell ref="A77:D77"/>
    <mergeCell ref="A35:D35"/>
    <mergeCell ref="A4:D4"/>
    <mergeCell ref="A62:D62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Estructura Costos</vt:lpstr>
      <vt:lpstr>Simulador</vt:lpstr>
      <vt:lpstr>Ventas Mensuales</vt:lpstr>
      <vt:lpstr>Productos</vt:lpstr>
      <vt:lpstr>Costeo Recetas</vt:lpstr>
      <vt:lpstr>Sensibilizacion</vt:lpstr>
      <vt:lpstr>Comisiones Financieras</vt:lpstr>
      <vt:lpstr>Memoria de Calculo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Nahuel A</cp:lastModifiedBy>
  <dcterms:created xsi:type="dcterms:W3CDTF">2026-03-22T12:16:52Z</dcterms:created>
  <dcterms:modified xsi:type="dcterms:W3CDTF">2026-03-22T12:25:19Z</dcterms:modified>
</cp:coreProperties>
</file>