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 Costos" sheetId="1" state="visible" r:id="rId1"/>
    <sheet xmlns:r="http://schemas.openxmlformats.org/officeDocument/2006/relationships" name="Ventas Mensuale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Costeo Recetas" sheetId="4" state="visible" r:id="rId4"/>
    <sheet xmlns:r="http://schemas.openxmlformats.org/officeDocument/2006/relationships" name="Sensibiliz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96600"/>
      <sz val="9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666666"/>
      <sz val="9"/>
    </font>
    <font>
      <name val="Calibri"/>
      <b val="1"/>
      <color rgb="00CC0000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1" pivotButton="0" quotePrefix="0" xfId="0"/>
    <xf numFmtId="0" fontId="6" fillId="6" borderId="1" pivotButton="0" quotePrefix="0" xfId="0"/>
    <xf numFmtId="3" fontId="6" fillId="6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0" fontId="6" fillId="7" borderId="1" pivotButton="0" quotePrefix="0" xfId="0"/>
    <xf numFmtId="0" fontId="6" fillId="8" borderId="1" pivotButton="0" quotePrefix="0" xfId="0"/>
    <xf numFmtId="3" fontId="6" fillId="8" borderId="1" applyAlignment="1" pivotButton="0" quotePrefix="0" xfId="0">
      <alignment horizontal="right"/>
    </xf>
    <xf numFmtId="0" fontId="5" fillId="8" borderId="1" pivotButton="0" quotePrefix="0" xfId="0"/>
    <xf numFmtId="3" fontId="5" fillId="8" borderId="1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8" fillId="6" borderId="1" pivotButton="0" quotePrefix="0" xfId="0"/>
    <xf numFmtId="3" fontId="8" fillId="6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5" borderId="1" pivotButton="0" quotePrefix="0" xfId="0"/>
    <xf numFmtId="3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5" fillId="8" borderId="1" applyAlignment="1" pivotButton="0" quotePrefix="0" xfId="0">
      <alignment horizontal="right"/>
    </xf>
    <xf numFmtId="0" fontId="6" fillId="3" borderId="1" pivotButton="0" quotePrefix="0" xfId="0"/>
    <xf numFmtId="3" fontId="6" fillId="3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3" fillId="0" borderId="0" pivotButton="0" quotePrefix="0" xfId="0"/>
    <xf numFmtId="0" fontId="5" fillId="6" borderId="1" pivotButton="0" quotePrefix="0" xfId="0"/>
    <xf numFmtId="3" fontId="5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  <col width="14" customWidth="1" min="4" max="4"/>
    <col width="42" customWidth="1" min="5" max="5"/>
  </cols>
  <sheetData>
    <row r="1">
      <c r="A1" s="1" t="inlineStr">
        <is>
          <t>ESTRUCTURA DE COSTOS - ROTISERIA NINO (BOSIN S.A.)</t>
        </is>
      </c>
    </row>
    <row r="2">
      <c r="A2" s="2" t="inlineStr">
        <is>
          <t>Base: ultimos 31 dias (16/02/2026 - 18/03/2026) desestacionalizado | Elaborado: Marzo 2026</t>
        </is>
      </c>
    </row>
    <row r="4">
      <c r="A4" s="3" t="inlineStr">
        <is>
          <t>1. VENTAS</t>
        </is>
      </c>
    </row>
    <row r="5">
      <c r="A5" s="4" t="inlineStr">
        <is>
          <t>Concepto</t>
        </is>
      </c>
      <c r="B5" s="4" t="inlineStr">
        <is>
          <t>Monto Mensual ($)</t>
        </is>
      </c>
      <c r="C5" s="4" t="inlineStr">
        <is>
          <t>% s/Ventas</t>
        </is>
      </c>
      <c r="D5" s="4" t="inlineStr">
        <is>
          <t>Tasa/Base</t>
        </is>
      </c>
      <c r="E5" s="4" t="inlineStr">
        <is>
          <t>Notas</t>
        </is>
      </c>
    </row>
    <row r="6">
      <c r="A6" s="5" t="inlineStr">
        <is>
          <t>VENTAS BRUTAS (con IVA)</t>
        </is>
      </c>
      <c r="B6" s="6" t="n">
        <v>13370919</v>
      </c>
      <c r="C6" s="5" t="inlineStr"/>
      <c r="D6" s="5" t="inlineStr">
        <is>
          <t>121%</t>
        </is>
      </c>
      <c r="E6" s="5" t="inlineStr">
        <is>
          <t>Facturacion total IVA incluido</t>
        </is>
      </c>
    </row>
    <row r="7">
      <c r="A7" s="5" t="inlineStr">
        <is>
          <t>(-) IVA Debito Fiscal</t>
        </is>
      </c>
      <c r="B7" s="6" t="n">
        <v>-2320573</v>
      </c>
      <c r="C7" s="5" t="inlineStr"/>
      <c r="D7" s="5" t="inlineStr">
        <is>
          <t>21%</t>
        </is>
      </c>
      <c r="E7" s="5" t="inlineStr">
        <is>
          <t>Se compensa con credito fiscal de compras</t>
        </is>
      </c>
    </row>
    <row r="8">
      <c r="A8" s="7" t="inlineStr">
        <is>
          <t>VENTAS NETAS (sin IVA)</t>
        </is>
      </c>
      <c r="B8" s="8" t="n">
        <v>11050346</v>
      </c>
      <c r="C8" s="7" t="inlineStr">
        <is>
          <t>100.0%</t>
        </is>
      </c>
      <c r="D8" s="7" t="inlineStr"/>
      <c r="E8" s="7" t="inlineStr">
        <is>
          <t>Base para todos los calculos</t>
        </is>
      </c>
    </row>
    <row r="9">
      <c r="A9" s="9" t="inlineStr">
        <is>
          <t xml:space="preserve">  Tickets promedio/mes: 1,139 | Ticket prom: $9,702</t>
        </is>
      </c>
      <c r="B9" s="9" t="inlineStr"/>
      <c r="C9" s="9" t="inlineStr"/>
      <c r="D9" s="9" t="inlineStr"/>
      <c r="E9" s="9" t="inlineStr"/>
    </row>
    <row r="10">
      <c r="A10" s="9" t="inlineStr">
        <is>
          <t xml:space="preserve">  Efectivo 40.8% | Debito 26.7% | Credito 19.0% | Billetera 10.1%</t>
        </is>
      </c>
      <c r="B10" s="9" t="inlineStr"/>
      <c r="C10" s="9" t="inlineStr"/>
      <c r="D10" s="9" t="inlineStr"/>
      <c r="E10" s="9" t="inlineStr"/>
    </row>
    <row r="12">
      <c r="A12" s="3" t="inlineStr">
        <is>
          <t>2. COSTO DE MERCADERIA VENDIDA (CMV)</t>
        </is>
      </c>
    </row>
    <row r="13">
      <c r="A13" s="4" t="inlineStr">
        <is>
          <t>Concepto</t>
        </is>
      </c>
      <c r="B13" s="4" t="inlineStr">
        <is>
          <t>Monto Mensual ($)</t>
        </is>
      </c>
      <c r="C13" s="4" t="inlineStr">
        <is>
          <t>% s/Ventas</t>
        </is>
      </c>
      <c r="D13" s="4" t="inlineStr">
        <is>
          <t>% del CMV</t>
        </is>
      </c>
      <c r="E13" s="4" t="inlineStr">
        <is>
          <t>Insumos principales</t>
        </is>
      </c>
    </row>
    <row r="14">
      <c r="A14" s="10" t="inlineStr">
        <is>
          <t>COSTO TOTAL INSUMOS</t>
        </is>
      </c>
      <c r="B14" s="11" t="n">
        <v>-7735242</v>
      </c>
      <c r="C14" s="10" t="inlineStr">
        <is>
          <t>70.0%</t>
        </is>
      </c>
      <c r="D14" s="10" t="inlineStr">
        <is>
          <t>100%</t>
        </is>
      </c>
      <c r="E14" s="10" t="inlineStr">
        <is>
          <t>Margen bruto 30% s/PVP (dato del sistema)</t>
        </is>
      </c>
    </row>
    <row r="15">
      <c r="A15" s="9" t="inlineStr">
        <is>
          <t xml:space="preserve">  Empanadas</t>
        </is>
      </c>
      <c r="B15" s="12" t="n">
        <v>-3855659</v>
      </c>
      <c r="C15" s="9" t="inlineStr">
        <is>
          <t>34.9%</t>
        </is>
      </c>
      <c r="D15" s="9" t="inlineStr">
        <is>
          <t>50%</t>
        </is>
      </c>
      <c r="E15" s="9" t="inlineStr">
        <is>
          <t>Carne, masa, queso, verdura, aceite</t>
        </is>
      </c>
    </row>
    <row r="16">
      <c r="A16" s="9" t="inlineStr">
        <is>
          <t xml:space="preserve">  Carnes elaboradas</t>
        </is>
      </c>
      <c r="B16" s="12" t="n">
        <v>-1709147</v>
      </c>
      <c r="C16" s="9" t="inlineStr">
        <is>
          <t>15.5%</t>
        </is>
      </c>
      <c r="D16" s="9" t="inlineStr">
        <is>
          <t>22%</t>
        </is>
      </c>
      <c r="E16" s="9" t="inlineStr">
        <is>
          <t>Matambre, pernil, lengua, pollo, condimentos</t>
        </is>
      </c>
    </row>
    <row r="17">
      <c r="A17" s="9" t="inlineStr">
        <is>
          <t xml:space="preserve">  Pizzas y canelones</t>
        </is>
      </c>
      <c r="B17" s="12" t="n">
        <v>-660855</v>
      </c>
      <c r="C17" s="9" t="inlineStr">
        <is>
          <t>6.0%</t>
        </is>
      </c>
      <c r="D17" s="9" t="inlineStr">
        <is>
          <t>9%</t>
        </is>
      </c>
      <c r="E17" s="9" t="inlineStr">
        <is>
          <t>Harina, muzzarella, salsa, carne, verdura</t>
        </is>
      </c>
    </row>
    <row r="18">
      <c r="A18" s="9" t="inlineStr">
        <is>
          <t xml:space="preserve">  Milanesas</t>
        </is>
      </c>
      <c r="B18" s="12" t="n">
        <v>-431885</v>
      </c>
      <c r="C18" s="9" t="inlineStr">
        <is>
          <t>3.9%</t>
        </is>
      </c>
      <c r="D18" s="9" t="inlineStr">
        <is>
          <t>6%</t>
        </is>
      </c>
      <c r="E18" s="9" t="inlineStr">
        <is>
          <t>Carne, pan rallado, huevo, aceite</t>
        </is>
      </c>
    </row>
    <row r="19">
      <c r="A19" s="9" t="inlineStr">
        <is>
          <t xml:space="preserve">  Salsas</t>
        </is>
      </c>
      <c r="B19" s="12" t="n">
        <v>-163088</v>
      </c>
      <c r="C19" s="9" t="inlineStr">
        <is>
          <t>1.5%</t>
        </is>
      </c>
      <c r="D19" s="9" t="inlineStr">
        <is>
          <t>2%</t>
        </is>
      </c>
      <c r="E19" s="9" t="inlineStr">
        <is>
          <t>Tomate, carne, condimentos</t>
        </is>
      </c>
    </row>
    <row r="20">
      <c r="A20" s="9" t="inlineStr">
        <is>
          <t xml:space="preserve">  Otros elaborados</t>
        </is>
      </c>
      <c r="B20" s="12" t="n">
        <v>-914608</v>
      </c>
      <c r="C20" s="9" t="inlineStr">
        <is>
          <t>8.3%</t>
        </is>
      </c>
      <c r="D20" s="9" t="inlineStr">
        <is>
          <t>12%</t>
        </is>
      </c>
      <c r="E20" s="9" t="inlineStr">
        <is>
          <t>Varios (tartas, fiambres, preparaciones)</t>
        </is>
      </c>
    </row>
    <row r="21">
      <c r="A21" s="7" t="inlineStr">
        <is>
          <t>MARGEN BRUTO</t>
        </is>
      </c>
      <c r="B21" s="8" t="n">
        <v>3315104</v>
      </c>
      <c r="C21" s="7" t="inlineStr">
        <is>
          <t>30.0%</t>
        </is>
      </c>
      <c r="D21" s="7" t="inlineStr"/>
      <c r="E21" s="7">
        <f> Ventas - CMV</f>
        <v/>
      </c>
    </row>
    <row r="22">
      <c r="A22" s="2" t="inlineStr">
        <is>
          <t xml:space="preserve">  Sensibilizar: 25%, 30%, 35% (ver hoja Sensibilizacion)</t>
        </is>
      </c>
    </row>
    <row r="24">
      <c r="A24" s="3" t="inlineStr">
        <is>
          <t>3. COSTOS FIJOS</t>
        </is>
      </c>
    </row>
    <row r="25">
      <c r="A25" s="4" t="inlineStr">
        <is>
          <t>Concepto</t>
        </is>
      </c>
      <c r="B25" s="4" t="inlineStr">
        <is>
          <t>Monto Mensual ($)</t>
        </is>
      </c>
      <c r="C25" s="4" t="inlineStr">
        <is>
          <t>% s/Ventas</t>
        </is>
      </c>
      <c r="D25" s="4" t="inlineStr">
        <is>
          <t>Tasa/Base</t>
        </is>
      </c>
      <c r="E25" s="4" t="inlineStr">
        <is>
          <t>Notas</t>
        </is>
      </c>
    </row>
    <row r="26">
      <c r="A26" s="13" t="inlineStr">
        <is>
          <t>3.1 SUELDOS Y CARGAS SOCIALES</t>
        </is>
      </c>
      <c r="B26" s="13" t="inlineStr"/>
      <c r="C26" s="13" t="inlineStr"/>
      <c r="D26" s="13" t="inlineStr"/>
      <c r="E26" s="13" t="inlineStr"/>
    </row>
    <row r="27">
      <c r="A27" s="5" t="inlineStr">
        <is>
          <t>Sueldos brutos (3 empleados)</t>
        </is>
      </c>
      <c r="B27" s="6" t="n">
        <v>-3540822</v>
      </c>
      <c r="C27" s="5" t="inlineStr">
        <is>
          <t>32.0%</t>
        </is>
      </c>
      <c r="D27" s="5" t="inlineStr">
        <is>
          <t>$1,180,274 c/u</t>
        </is>
      </c>
      <c r="E27" s="5" t="inlineStr">
        <is>
          <t>CCT 130/75 Aux.Esp.A (Mar 2026)</t>
        </is>
      </c>
    </row>
    <row r="28">
      <c r="A28" s="9" t="inlineStr">
        <is>
          <t xml:space="preserve">  - Remunerativo</t>
        </is>
      </c>
      <c r="B28" s="12" t="n">
        <v>-3240822</v>
      </c>
      <c r="C28" s="9" t="inlineStr"/>
      <c r="D28" s="9" t="inlineStr">
        <is>
          <t>$1,080,274 c/u</t>
        </is>
      </c>
      <c r="E28" s="9" t="inlineStr">
        <is>
          <t>Base contribuciones (F.930)</t>
        </is>
      </c>
    </row>
    <row r="29">
      <c r="A29" s="9" t="inlineStr">
        <is>
          <t xml:space="preserve">  - No Remunerativo</t>
        </is>
      </c>
      <c r="B29" s="12" t="n">
        <v>-300000</v>
      </c>
      <c r="C29" s="9" t="inlineStr"/>
      <c r="D29" s="9" t="inlineStr">
        <is>
          <t>$100,000 c/u</t>
        </is>
      </c>
      <c r="E29" s="9" t="inlineStr">
        <is>
          <t>No genera cargas patronales</t>
        </is>
      </c>
    </row>
    <row r="30">
      <c r="A30" s="5" t="inlineStr">
        <is>
          <t>Contribuciones patronales (F.930)</t>
        </is>
      </c>
      <c r="B30" s="6" t="n">
        <v>-963820</v>
      </c>
      <c r="C30" s="5" t="inlineStr">
        <is>
          <t>8.7%</t>
        </is>
      </c>
      <c r="D30" s="5" t="inlineStr">
        <is>
          <t>29.74% s/rem</t>
        </is>
      </c>
      <c r="E30" s="5" t="inlineStr">
        <is>
          <t>Base: $3,240,822 (solo remunerativo)</t>
        </is>
      </c>
    </row>
    <row r="31">
      <c r="A31" s="9" t="inlineStr">
        <is>
          <t xml:space="preserve">  - Jubilacion (SIPA)</t>
        </is>
      </c>
      <c r="B31" s="12" t="n">
        <v>-411908</v>
      </c>
      <c r="C31" s="9" t="inlineStr"/>
      <c r="D31" s="9" t="inlineStr">
        <is>
          <t>12.71%</t>
        </is>
      </c>
      <c r="E31" s="9" t="inlineStr">
        <is>
          <t>Alicuota NO MiPyME servicios/comercio</t>
        </is>
      </c>
    </row>
    <row r="32">
      <c r="A32" s="9" t="inlineStr">
        <is>
          <t xml:space="preserve">  - PAMI (Ley 19.032)</t>
        </is>
      </c>
      <c r="B32" s="12" t="n">
        <v>-51205</v>
      </c>
      <c r="C32" s="9" t="inlineStr"/>
      <c r="D32" s="9" t="inlineStr">
        <is>
          <t>1.58%</t>
        </is>
      </c>
      <c r="E32" s="9" t="inlineStr"/>
    </row>
    <row r="33">
      <c r="A33" s="9" t="inlineStr">
        <is>
          <t xml:space="preserve">  - Asignaciones Familiares</t>
        </is>
      </c>
      <c r="B33" s="12" t="n">
        <v>-180190</v>
      </c>
      <c r="C33" s="9" t="inlineStr"/>
      <c r="D33" s="9" t="inlineStr">
        <is>
          <t>5.56%</t>
        </is>
      </c>
      <c r="E33" s="9" t="inlineStr"/>
    </row>
    <row r="34">
      <c r="A34" s="9" t="inlineStr">
        <is>
          <t xml:space="preserve">  - Fondo Nacional de Empleo</t>
        </is>
      </c>
      <c r="B34" s="12" t="n">
        <v>-28843</v>
      </c>
      <c r="C34" s="9" t="inlineStr"/>
      <c r="D34" s="9" t="inlineStr">
        <is>
          <t>0.89%</t>
        </is>
      </c>
      <c r="E34" s="9" t="inlineStr"/>
    </row>
    <row r="35">
      <c r="A35" s="9" t="inlineStr">
        <is>
          <t xml:space="preserve">  - Obra Social patronal</t>
        </is>
      </c>
      <c r="B35" s="12" t="n">
        <v>-194449</v>
      </c>
      <c r="C35" s="9" t="inlineStr"/>
      <c r="D35" s="9" t="inlineStr">
        <is>
          <t>6.00%</t>
        </is>
      </c>
      <c r="E35" s="9" t="inlineStr"/>
    </row>
    <row r="36">
      <c r="A36" s="9" t="inlineStr">
        <is>
          <t xml:space="preserve">  - ART (estimado)</t>
        </is>
      </c>
      <c r="B36" s="12" t="n">
        <v>-97225</v>
      </c>
      <c r="C36" s="9" t="inlineStr"/>
      <c r="D36" s="9" t="inlineStr">
        <is>
          <t>~3.00%</t>
        </is>
      </c>
      <c r="E36" s="9" t="inlineStr">
        <is>
          <t>Varia segun siniestralidad</t>
        </is>
      </c>
    </row>
    <row r="37">
      <c r="A37" s="5" t="inlineStr">
        <is>
          <t>SAC proporcional (1/12)</t>
        </is>
      </c>
      <c r="B37" s="6" t="n">
        <v>-350387</v>
      </c>
      <c r="C37" s="5" t="inlineStr">
        <is>
          <t>3.2%</t>
        </is>
      </c>
      <c r="D37" s="5" t="inlineStr"/>
      <c r="E37" s="5" t="inlineStr">
        <is>
          <t>Aguinaldo s/remunerativo + cargas</t>
        </is>
      </c>
    </row>
    <row r="38">
      <c r="A38" s="9" t="inlineStr">
        <is>
          <t>Seguro Vida Obligatorio</t>
        </is>
      </c>
      <c r="B38" s="12" t="n">
        <v>-1500</v>
      </c>
      <c r="C38" s="9" t="inlineStr"/>
      <c r="D38" s="9" t="inlineStr">
        <is>
          <t>~$500 c/u</t>
        </is>
      </c>
      <c r="E38" s="9" t="inlineStr">
        <is>
          <t>Decreto 1567/74</t>
        </is>
      </c>
    </row>
    <row r="39">
      <c r="A39" s="14" t="inlineStr">
        <is>
          <t>SUBTOTAL LABORAL</t>
        </is>
      </c>
      <c r="B39" s="15" t="n">
        <v>-4856529</v>
      </c>
      <c r="C39" s="14" t="inlineStr">
        <is>
          <t>43.9%</t>
        </is>
      </c>
      <c r="D39" s="14" t="inlineStr"/>
      <c r="E39" s="14" t="inlineStr"/>
    </row>
    <row r="41">
      <c r="A41" s="13" t="inlineStr">
        <is>
          <t>3.2 SERVICIOS (prorrateo rotiseria)</t>
        </is>
      </c>
      <c r="B41" s="13" t="inlineStr"/>
      <c r="C41" s="13" t="inlineStr"/>
      <c r="D41" s="13" t="inlineStr"/>
      <c r="E41" s="13" t="inlineStr"/>
    </row>
    <row r="42">
      <c r="A42" s="5" t="inlineStr">
        <is>
          <t>Gas natural (332 m3/mes)</t>
        </is>
      </c>
      <c r="B42" s="6" t="n">
        <v>-148450</v>
      </c>
      <c r="C42" s="5" t="inlineStr">
        <is>
          <t>1.3%</t>
        </is>
      </c>
      <c r="D42" s="5" t="inlineStr">
        <is>
          <t>$447/m3</t>
        </is>
      </c>
      <c r="E42" s="5" t="inlineStr">
        <is>
          <t>Prorrateo s/factura Ecogas Patricios 344 Feb 2026</t>
        </is>
      </c>
    </row>
    <row r="43">
      <c r="A43" s="9" t="inlineStr">
        <is>
          <t xml:space="preserve">  Factura: $664,000/1485m3. Rotis 332m3 (22%) + Panad 1153m3 (78%) = 100%</t>
        </is>
      </c>
      <c r="B43" s="9" t="inlineStr"/>
      <c r="C43" s="9" t="inlineStr"/>
      <c r="D43" s="9" t="inlineStr"/>
      <c r="E43" s="9" t="inlineStr"/>
    </row>
    <row r="44">
      <c r="A44" s="9" t="inlineStr">
        <is>
          <t xml:space="preserve">  Equipamiento: horno convector 8 band. ~4.3h/dia + cocina 2 horn. ~2h/dia</t>
        </is>
      </c>
      <c r="B44" s="9" t="inlineStr"/>
      <c r="C44" s="9" t="inlineStr"/>
      <c r="D44" s="9" t="inlineStr"/>
      <c r="E44" s="9" t="inlineStr"/>
    </row>
    <row r="45">
      <c r="A45" s="5" t="inlineStr">
        <is>
          <t>Electricidad (500 kWh/mes)</t>
        </is>
      </c>
      <c r="B45" s="6" t="n">
        <v>-182881</v>
      </c>
      <c r="C45" s="5" t="inlineStr">
        <is>
          <t>1.7%</t>
        </is>
      </c>
      <c r="D45" s="5" t="inlineStr">
        <is>
          <t>$366/kWh</t>
        </is>
      </c>
      <c r="E45" s="5" t="inlineStr">
        <is>
          <t>Prorrateo s/factura EDEMSA Patricios 334 Mar 2026</t>
        </is>
      </c>
    </row>
    <row r="46">
      <c r="A46" s="9" t="inlineStr">
        <is>
          <t xml:space="preserve">  Factura real: $3,463,771 / 9470 kWh = $366/kWh all-in (IVA 27% + imp.)</t>
        </is>
      </c>
      <c r="B46" s="9" t="inlineStr"/>
      <c r="C46" s="9" t="inlineStr"/>
      <c r="D46" s="9" t="inlineStr"/>
      <c r="E46" s="9" t="inlineStr"/>
    </row>
    <row r="47">
      <c r="A47" s="9" t="inlineStr">
        <is>
          <t xml:space="preserve">  Equipamiento: vitrina exhibidora + heladera insumos + campana + iluminacion</t>
        </is>
      </c>
      <c r="B47" s="9" t="inlineStr"/>
      <c r="C47" s="9" t="inlineStr"/>
      <c r="D47" s="9" t="inlineStr"/>
      <c r="E47" s="9" t="inlineStr"/>
    </row>
    <row r="48">
      <c r="A48" s="14" t="inlineStr">
        <is>
          <t>SUBTOTAL SERVICIOS</t>
        </is>
      </c>
      <c r="B48" s="15" t="n">
        <v>-331331</v>
      </c>
      <c r="C48" s="14" t="inlineStr">
        <is>
          <t>3.0%</t>
        </is>
      </c>
      <c r="D48" s="14" t="inlineStr"/>
      <c r="E48" s="14" t="inlineStr">
        <is>
          <t>Basado en facturas reales Feb-Mar 2026</t>
        </is>
      </c>
    </row>
    <row r="50">
      <c r="A50" s="13" t="inlineStr">
        <is>
          <t>3.3 OTROS COSTOS FIJOS (estimados)</t>
        </is>
      </c>
      <c r="B50" s="13" t="inlineStr"/>
      <c r="C50" s="13" t="inlineStr"/>
      <c r="D50" s="13" t="inlineStr"/>
      <c r="E50" s="13" t="inlineStr"/>
    </row>
    <row r="51">
      <c r="A51" s="16" t="inlineStr">
        <is>
          <t xml:space="preserve">  Alquiler / amort. inmueble (prorrateo)</t>
        </is>
      </c>
      <c r="B51" s="17" t="n">
        <v>-150000</v>
      </c>
      <c r="C51" s="16" t="inlineStr">
        <is>
          <t>1.4%</t>
        </is>
      </c>
      <c r="D51" s="16" t="inlineStr"/>
      <c r="E51" s="16" t="inlineStr">
        <is>
          <t>~15% m2 rotiseria s/total local. AJUSTAR</t>
        </is>
      </c>
    </row>
    <row r="52">
      <c r="A52" s="16" t="inlineStr">
        <is>
          <t xml:space="preserve">  Descartables / packaging</t>
        </is>
      </c>
      <c r="B52" s="17" t="n">
        <v>-80000</v>
      </c>
      <c r="C52" s="16" t="inlineStr">
        <is>
          <t>0.7%</t>
        </is>
      </c>
      <c r="D52" s="16" t="inlineStr"/>
      <c r="E52" s="16" t="inlineStr">
        <is>
          <t>Bandejas aluminio, bolsas, film, envases</t>
        </is>
      </c>
    </row>
    <row r="53">
      <c r="A53" s="16" t="inlineStr">
        <is>
          <t xml:space="preserve">  Amortizacion equipos</t>
        </is>
      </c>
      <c r="B53" s="17" t="n">
        <v>-50000</v>
      </c>
      <c r="C53" s="16" t="inlineStr">
        <is>
          <t>0.5%</t>
        </is>
      </c>
      <c r="D53" s="16" t="inlineStr"/>
      <c r="E53" s="16" t="inlineStr">
        <is>
          <t>Horno, heladera, vitrina. ~$15M equipo / 60 meses</t>
        </is>
      </c>
    </row>
    <row r="54">
      <c r="A54" s="16" t="inlineStr">
        <is>
          <t xml:space="preserve">  Mantenimiento equipos</t>
        </is>
      </c>
      <c r="B54" s="17" t="n">
        <v>-30000</v>
      </c>
      <c r="C54" s="16" t="inlineStr">
        <is>
          <t>0.3%</t>
        </is>
      </c>
      <c r="D54" s="16" t="inlineStr"/>
      <c r="E54" s="16" t="inlineStr">
        <is>
          <t>Service horno y heladeras, repuestos</t>
        </is>
      </c>
    </row>
    <row r="55">
      <c r="A55" s="16" t="inlineStr">
        <is>
          <t xml:space="preserve">  Seguros (incendio, RC)</t>
        </is>
      </c>
      <c r="B55" s="17" t="n">
        <v>-25000</v>
      </c>
      <c r="C55" s="16" t="inlineStr">
        <is>
          <t>0.2%</t>
        </is>
      </c>
      <c r="D55" s="16" t="inlineStr"/>
      <c r="E55" s="16" t="inlineStr">
        <is>
          <t>Prorrateo por m2 rotiseria</t>
        </is>
      </c>
    </row>
    <row r="56">
      <c r="A56" s="16" t="inlineStr">
        <is>
          <t xml:space="preserve">  Indumentaria / EPP</t>
        </is>
      </c>
      <c r="B56" s="17" t="n">
        <v>-15000</v>
      </c>
      <c r="C56" s="16" t="inlineStr">
        <is>
          <t>0.1%</t>
        </is>
      </c>
      <c r="D56" s="16" t="inlineStr"/>
      <c r="E56" s="16" t="inlineStr">
        <is>
          <t>Delantales, gorros, guantes (3 empleados)</t>
        </is>
      </c>
    </row>
    <row r="57">
      <c r="A57" s="16" t="inlineStr">
        <is>
          <t xml:space="preserve">  Agua (prorrateo)</t>
        </is>
      </c>
      <c r="B57" s="17" t="n">
        <v>-15000</v>
      </c>
      <c r="C57" s="16" t="inlineStr">
        <is>
          <t>0.1%</t>
        </is>
      </c>
      <c r="D57" s="16" t="inlineStr"/>
      <c r="E57" s="16" t="inlineStr">
        <is>
          <t>Limpieza y coccion</t>
        </is>
      </c>
    </row>
    <row r="58">
      <c r="A58" s="16" t="inlineStr">
        <is>
          <t xml:space="preserve">  Habilitacion bromatologica</t>
        </is>
      </c>
      <c r="B58" s="17" t="n">
        <v>-12000</v>
      </c>
      <c r="C58" s="16" t="inlineStr">
        <is>
          <t>0.1%</t>
        </is>
      </c>
      <c r="D58" s="16" t="inlineStr"/>
      <c r="E58" s="16" t="inlineStr">
        <is>
          <t>Anual / 12. Obligatoria elaboracion alimentos</t>
        </is>
      </c>
    </row>
    <row r="59">
      <c r="A59" s="16" t="inlineStr">
        <is>
          <t xml:space="preserve">  Habilitacion municipal</t>
        </is>
      </c>
      <c r="B59" s="17" t="n">
        <v>-8000</v>
      </c>
      <c r="C59" s="16" t="inlineStr">
        <is>
          <t>0.1%</t>
        </is>
      </c>
      <c r="D59" s="16" t="inlineStr"/>
      <c r="E59" s="16" t="inlineStr">
        <is>
          <t>Tasa comercio Lujan de Cuyo / 12</t>
        </is>
      </c>
    </row>
    <row r="60">
      <c r="A60" s="14" t="inlineStr">
        <is>
          <t>SUBTOTAL OTROS FIJOS</t>
        </is>
      </c>
      <c r="B60" s="15" t="n">
        <v>-385000</v>
      </c>
      <c r="C60" s="14" t="inlineStr">
        <is>
          <t>3.5%</t>
        </is>
      </c>
      <c r="D60" s="14" t="inlineStr"/>
      <c r="E60" s="14" t="inlineStr">
        <is>
          <t>Estimados - ajustar con datos reales</t>
        </is>
      </c>
    </row>
    <row r="62">
      <c r="A62" s="10" t="inlineStr">
        <is>
          <t>TOTAL COSTOS FIJOS</t>
        </is>
      </c>
      <c r="B62" s="11" t="n">
        <v>-5572860</v>
      </c>
      <c r="C62" s="10" t="inlineStr">
        <is>
          <t>50.4%</t>
        </is>
      </c>
      <c r="D62" s="10" t="inlineStr"/>
      <c r="E62" s="10" t="inlineStr">
        <is>
          <t>Laboral + Servicios + Otros (estimados)</t>
        </is>
      </c>
    </row>
    <row r="64">
      <c r="A64" s="3" t="inlineStr">
        <is>
          <t>4. COSTOS VARIABLES (% sobre ventas)</t>
        </is>
      </c>
    </row>
    <row r="65">
      <c r="A65" s="4" t="inlineStr">
        <is>
          <t>Concepto</t>
        </is>
      </c>
      <c r="B65" s="4" t="inlineStr">
        <is>
          <t>Monto Mensual ($)</t>
        </is>
      </c>
      <c r="C65" s="4" t="inlineStr">
        <is>
          <t>% s/Ventas</t>
        </is>
      </c>
      <c r="D65" s="4" t="inlineStr">
        <is>
          <t>Tasa/Base</t>
        </is>
      </c>
      <c r="E65" s="4" t="inlineStr">
        <is>
          <t>Notas</t>
        </is>
      </c>
    </row>
    <row r="66">
      <c r="A66" s="13" t="inlineStr">
        <is>
          <t>4.1 COMISIONES TARJETAS</t>
        </is>
      </c>
      <c r="B66" s="13" t="inlineStr"/>
      <c r="C66" s="13" t="inlineStr"/>
      <c r="D66" s="13" t="inlineStr"/>
      <c r="E66" s="13" t="inlineStr"/>
    </row>
    <row r="67">
      <c r="A67" s="5" t="inlineStr">
        <is>
          <t>Tarjeta Credito (19.0% ventas)</t>
        </is>
      </c>
      <c r="B67" s="6" t="n">
        <v>-63034</v>
      </c>
      <c r="C67" s="5" t="inlineStr">
        <is>
          <t>0.57%</t>
        </is>
      </c>
      <c r="D67" s="5" t="inlineStr">
        <is>
          <t>3.0%</t>
        </is>
      </c>
      <c r="E67" s="5" t="inlineStr">
        <is>
          <t>Naranja 41%, Visa 41%, MC 15%</t>
        </is>
      </c>
    </row>
    <row r="68">
      <c r="A68" s="5" t="inlineStr">
        <is>
          <t>Tarjeta Debito (26.7% ventas)</t>
        </is>
      </c>
      <c r="B68" s="6" t="n">
        <v>-35452</v>
      </c>
      <c r="C68" s="5" t="inlineStr">
        <is>
          <t>0.32%</t>
        </is>
      </c>
      <c r="D68" s="5" t="inlineStr">
        <is>
          <t>1.2%</t>
        </is>
      </c>
      <c r="E68" s="5" t="inlineStr">
        <is>
          <t>Visa 64%, Mastercard 36%</t>
        </is>
      </c>
    </row>
    <row r="69">
      <c r="A69" s="5" t="inlineStr">
        <is>
          <t>Billetera Virtual (10.1% ventas)</t>
        </is>
      </c>
      <c r="B69" s="6" t="n">
        <v>-16681</v>
      </c>
      <c r="C69" s="5" t="inlineStr">
        <is>
          <t>0.15%</t>
        </is>
      </c>
      <c r="D69" s="5" t="inlineStr">
        <is>
          <t>1.5%</t>
        </is>
      </c>
      <c r="E69" s="5" t="inlineStr">
        <is>
          <t>Mercado Pago y otras</t>
        </is>
      </c>
    </row>
    <row r="70">
      <c r="A70" s="18" t="inlineStr">
        <is>
          <t>Subtotal comisiones</t>
        </is>
      </c>
      <c r="B70" s="19" t="n">
        <v>-115167</v>
      </c>
      <c r="C70" s="18" t="inlineStr">
        <is>
          <t>1.04%</t>
        </is>
      </c>
      <c r="D70" s="18" t="inlineStr"/>
      <c r="E70" s="18" t="inlineStr"/>
    </row>
    <row r="72">
      <c r="A72" s="13" t="inlineStr">
        <is>
          <t>4.2 IMPUESTOS OPERATIVOS</t>
        </is>
      </c>
      <c r="B72" s="13" t="inlineStr"/>
      <c r="C72" s="13" t="inlineStr"/>
      <c r="D72" s="13" t="inlineStr"/>
      <c r="E72" s="13" t="inlineStr"/>
    </row>
    <row r="73">
      <c r="A73" s="5" t="inlineStr">
        <is>
          <t>Ingresos Brutos (Mendoza)</t>
        </is>
      </c>
      <c r="B73" s="6" t="n">
        <v>-331510</v>
      </c>
      <c r="C73" s="5" t="inlineStr">
        <is>
          <t>3.0%</t>
        </is>
      </c>
      <c r="D73" s="5" t="inlineStr">
        <is>
          <t>3%</t>
        </is>
      </c>
      <c r="E73" s="5" t="inlineStr">
        <is>
          <t>Ley Impositiva Mza 2026, Rubro 7 comercio minorista</t>
        </is>
      </c>
    </row>
    <row r="74">
      <c r="A74" s="5" t="inlineStr">
        <is>
          <t>Imp. Debitos y Creditos Bancarios</t>
        </is>
      </c>
      <c r="B74" s="6" t="n">
        <v>-78465</v>
      </c>
      <c r="C74" s="5" t="inlineStr">
        <is>
          <t>0.71%</t>
        </is>
      </c>
      <c r="D74" s="5" t="inlineStr">
        <is>
          <t>1.2% s/banc.</t>
        </is>
      </c>
      <c r="E74" s="5" t="inlineStr">
        <is>
          <t>Ley 25.413. Solo s/bancarizado (59.2% ventas, excluye efectivo)</t>
        </is>
      </c>
    </row>
    <row r="75">
      <c r="A75" s="18" t="inlineStr">
        <is>
          <t>Subtotal impuestos</t>
        </is>
      </c>
      <c r="B75" s="19" t="n">
        <v>-409975</v>
      </c>
      <c r="C75" s="18" t="inlineStr">
        <is>
          <t>3.7%</t>
        </is>
      </c>
      <c r="D75" s="18" t="inlineStr"/>
      <c r="E75" s="18" t="inlineStr"/>
    </row>
    <row r="77">
      <c r="A77" s="13" t="inlineStr">
        <is>
          <t>4.3 MERMA / DESCARTE</t>
        </is>
      </c>
      <c r="B77" s="13" t="inlineStr"/>
      <c r="C77" s="13" t="inlineStr"/>
      <c r="D77" s="13" t="inlineStr"/>
      <c r="E77" s="13" t="inlineStr"/>
    </row>
    <row r="78">
      <c r="A78" s="16" t="inlineStr">
        <is>
          <t>Merma estimada</t>
        </is>
      </c>
      <c r="B78" s="17" t="n">
        <v>-552517</v>
      </c>
      <c r="C78" s="16" t="inlineStr">
        <is>
          <t>5.0%</t>
        </is>
      </c>
      <c r="D78" s="16" t="inlineStr"/>
      <c r="E78" s="16" t="inlineStr">
        <is>
          <t>Rotiseria tipico 3-8%. AJUSTAR con dato real</t>
        </is>
      </c>
    </row>
    <row r="80">
      <c r="A80" s="10" t="inlineStr">
        <is>
          <t>TOTAL COSTOS VARIABLES</t>
        </is>
      </c>
      <c r="B80" s="11" t="n">
        <v>-1077659</v>
      </c>
      <c r="C80" s="10" t="inlineStr">
        <is>
          <t>9.8%</t>
        </is>
      </c>
      <c r="D80" s="10" t="inlineStr"/>
      <c r="E80" s="10" t="inlineStr"/>
    </row>
    <row r="82">
      <c r="A82" s="3" t="inlineStr">
        <is>
          <t>5. RESULTADO - MARGEN DE CONTRIBUCION</t>
        </is>
      </c>
    </row>
    <row r="83">
      <c r="A83" s="4" t="inlineStr">
        <is>
          <t>Concepto</t>
        </is>
      </c>
      <c r="B83" s="4" t="inlineStr">
        <is>
          <t>Monto Mensual ($)</t>
        </is>
      </c>
      <c r="C83" s="4" t="inlineStr">
        <is>
          <t>% s/Ventas</t>
        </is>
      </c>
      <c r="D83" s="4" t="inlineStr"/>
      <c r="E83" s="4" t="inlineStr">
        <is>
          <t>Notas</t>
        </is>
      </c>
    </row>
    <row r="84">
      <c r="A84" s="5" t="inlineStr">
        <is>
          <t>Ventas Netas</t>
        </is>
      </c>
      <c r="B84" s="6" t="n">
        <v>11050346</v>
      </c>
      <c r="C84" s="5" t="inlineStr">
        <is>
          <t>100.0%</t>
        </is>
      </c>
      <c r="D84" s="5" t="inlineStr"/>
      <c r="E84" s="5" t="inlineStr"/>
    </row>
    <row r="85">
      <c r="A85" s="5" t="inlineStr">
        <is>
          <t>(-) CMV</t>
        </is>
      </c>
      <c r="B85" s="6" t="n">
        <v>-7735242</v>
      </c>
      <c r="C85" s="5" t="inlineStr">
        <is>
          <t>70.0%</t>
        </is>
      </c>
      <c r="D85" s="5" t="inlineStr"/>
      <c r="E85" s="5" t="inlineStr"/>
    </row>
    <row r="86">
      <c r="A86" s="18">
        <f> MARGEN BRUTO</f>
        <v/>
      </c>
      <c r="B86" s="19" t="n">
        <v>3315104</v>
      </c>
      <c r="C86" s="18" t="inlineStr">
        <is>
          <t>30.0%</t>
        </is>
      </c>
      <c r="D86" s="18" t="inlineStr"/>
      <c r="E86" s="18" t="inlineStr"/>
    </row>
    <row r="87">
      <c r="A87" s="5" t="inlineStr">
        <is>
          <t>(-) Costos Fijos</t>
        </is>
      </c>
      <c r="B87" s="6" t="n">
        <v>-5572860</v>
      </c>
      <c r="C87" s="5" t="inlineStr">
        <is>
          <t>50.4%</t>
        </is>
      </c>
      <c r="D87" s="5" t="inlineStr"/>
      <c r="E87" s="5" t="inlineStr">
        <is>
          <t>Laboral + Servicios + Otros</t>
        </is>
      </c>
    </row>
    <row r="88">
      <c r="A88" s="5" t="inlineStr">
        <is>
          <t>(-) Costos Variables</t>
        </is>
      </c>
      <c r="B88" s="6" t="n">
        <v>-1077659</v>
      </c>
      <c r="C88" s="5" t="inlineStr">
        <is>
          <t>9.8%</t>
        </is>
      </c>
      <c r="D88" s="5" t="inlineStr"/>
      <c r="E88" s="5" t="inlineStr"/>
    </row>
    <row r="89">
      <c r="A89" s="20">
        <f> MARGEN DE CONTRIBUCION</f>
        <v/>
      </c>
      <c r="B89" s="21" t="n">
        <v>-3335415</v>
      </c>
      <c r="C89" s="20" t="inlineStr">
        <is>
          <t>-30.2%</t>
        </is>
      </c>
      <c r="D89" s="20" t="inlineStr"/>
      <c r="E89" s="20" t="inlineStr">
        <is>
          <t>DEFICITARIO</t>
        </is>
      </c>
    </row>
    <row r="90">
      <c r="A90" s="2" t="inlineStr">
        <is>
          <t xml:space="preserve">  Items en amarillo son estimados. Ajustar con datos reales.</t>
        </is>
      </c>
    </row>
    <row r="92">
      <c r="A92" s="3" t="inlineStr">
        <is>
          <t>6. PUNTO DE EQUILIBRIO</t>
        </is>
      </c>
    </row>
    <row r="93">
      <c r="A93" s="18" t="inlineStr">
        <is>
          <t>Ventas necesarias para cubrir costos fijos (margen 30%)</t>
        </is>
      </c>
      <c r="B93" s="19" t="n">
        <v>27523375</v>
      </c>
      <c r="C93" s="18" t="inlineStr"/>
      <c r="D93" s="18" t="inlineStr"/>
      <c r="E93" s="18" t="inlineStr"/>
    </row>
    <row r="94">
      <c r="A94" s="5" t="inlineStr">
        <is>
          <t>Ventas actuales promedio</t>
        </is>
      </c>
      <c r="B94" s="6" t="n">
        <v>11050346</v>
      </c>
      <c r="C94" s="5" t="inlineStr"/>
      <c r="D94" s="5" t="inlineStr"/>
      <c r="E94" s="5" t="inlineStr"/>
    </row>
    <row r="95">
      <c r="A95" s="10" t="inlineStr">
        <is>
          <t>Cobertura punto de equilibrio</t>
        </is>
      </c>
      <c r="B95" s="10" t="inlineStr"/>
      <c r="C95" s="10" t="inlineStr">
        <is>
          <t>40%</t>
        </is>
      </c>
      <c r="D95" s="10" t="inlineStr"/>
      <c r="E95" s="10" t="inlineStr">
        <is>
          <t>INSUFICIENTE</t>
        </is>
      </c>
    </row>
    <row r="97">
      <c r="A97" s="3" t="inlineStr">
        <is>
          <t>SUPUESTOS</t>
        </is>
      </c>
    </row>
    <row r="98">
      <c r="A98" s="2" t="inlineStr">
        <is>
          <t xml:space="preserve">  1. Empresa NO inscripta como MiPyME - Contribuciones patronales SUSS al 20.4% (si obtiene certificado MiPyME baja a 18%)</t>
        </is>
      </c>
    </row>
    <row r="99">
      <c r="A99" s="2" t="inlineStr">
        <is>
          <t xml:space="preserve">  2. CCT 130/75 Empleados de Comercio - Categoria Auxiliar Especializado A, sin antiguedad</t>
        </is>
      </c>
    </row>
    <row r="100">
      <c r="A100" s="2" t="inlineStr">
        <is>
          <t xml:space="preserve">  3. Sueldo: $1,080,274 remunerativo + $100,000 NR = $1,180,274/empleado (escala Dic 2025 - Mar 2026)</t>
        </is>
      </c>
    </row>
    <row r="101">
      <c r="A101" s="2" t="inlineStr">
        <is>
          <t xml:space="preserve">  4. Contribuciones patronales (29.74%) calculadas SOLO sobre remunerativo. NR no genera cargas</t>
        </is>
      </c>
    </row>
    <row r="102">
      <c r="A102" s="2" t="inlineStr">
        <is>
          <t xml:space="preserve">  5. SAC mensualizado sobre base remunerativa + contribuciones</t>
        </is>
      </c>
    </row>
    <row r="103">
      <c r="A103" s="2" t="inlineStr">
        <is>
          <t xml:space="preserve">  6. Margen bruto sobre PVP: 30% (parametro del sistema de facturacion)</t>
        </is>
      </c>
    </row>
    <row r="104">
      <c r="A104" s="2" t="inlineStr">
        <is>
          <t xml:space="preserve">  7. Comisiones: Credito 3%, Debito 1.2%, Billetera 1.5% (promedios de mercado)</t>
        </is>
      </c>
    </row>
    <row r="105">
      <c r="A105" s="2" t="inlineStr">
        <is>
          <t xml:space="preserve">  8. IIBB Mendoza: 3% (Ley Impositiva Mza 2026, Rubro 7 comercio minorista)</t>
        </is>
      </c>
    </row>
    <row r="106">
      <c r="A106" s="2" t="inlineStr">
        <is>
          <t xml:space="preserve">  9. Imp. Debitos/Creditos: 1.2% SOLO sobre bancarizado (59.2% ventas). Ley 25.413</t>
        </is>
      </c>
    </row>
    <row r="107">
      <c r="A107" s="2" t="inlineStr">
        <is>
          <t xml:space="preserve">  10. Merma estimada: 5% (ajustar con medicion real, tipico rotiseria 3-8%)</t>
        </is>
      </c>
    </row>
    <row r="108">
      <c r="A108" s="2" t="inlineStr">
        <is>
          <t xml:space="preserve">  11. IVA: no se incluye como costo (se compensa DF vs CF). Solo se muestra para referencia</t>
        </is>
      </c>
    </row>
    <row r="109">
      <c r="A109" s="2" t="inlineStr">
        <is>
          <t xml:space="preserve">  12. Ventas: ultimos 31 dias reales (16/02/2026 - 18/03/2026) desestacionalizados con indice 2025</t>
        </is>
      </c>
    </row>
    <row r="110">
      <c r="A110" s="2" t="inlineStr">
        <is>
          <t xml:space="preserve">  13. Indice estacional ponderado ventana: 1.0095 (10 meses completos 2025, excl Oct-Nov incompletos)</t>
        </is>
      </c>
    </row>
    <row r="111">
      <c r="A111" s="2" t="inlineStr">
        <is>
          <t xml:space="preserve">  14. Gas: 332 m3/mes estimado (horno convector 8 band. + cocina 2 horn.). Factura compartida con panaderia</t>
        </is>
      </c>
    </row>
    <row r="112">
      <c r="A112" s="2" t="inlineStr">
        <is>
          <t xml:space="preserve">  15. Gas: factura Ecogas Patricios 344 $664,000/1485m3. Rotis 332m3 + Panad 1153m3 = 100%</t>
        </is>
      </c>
    </row>
    <row r="113">
      <c r="A113" s="2" t="inlineStr">
        <is>
          <t xml:space="preserve">  16. Electricidad: 500 kWh/mes estimado (vitrina + heladera insumos + campana + iluminacion)</t>
        </is>
      </c>
    </row>
    <row r="114">
      <c r="A114" s="2" t="inlineStr">
        <is>
          <t xml:space="preserve">  17. Electricidad tarifa: $365.76/kWh all-in (s/factura EDEMSA Patricios 334 Mar 2026: $3,463,771/9470kWh, T2 Especial, IVA 27%)</t>
        </is>
      </c>
    </row>
  </sheetData>
  <mergeCells count="28">
    <mergeCell ref="A114:E114"/>
    <mergeCell ref="A24:E24"/>
    <mergeCell ref="A64:E64"/>
    <mergeCell ref="A82:E82"/>
    <mergeCell ref="A98:E98"/>
    <mergeCell ref="A107:E107"/>
    <mergeCell ref="A1:E1"/>
    <mergeCell ref="A103:E103"/>
    <mergeCell ref="A110:E110"/>
    <mergeCell ref="A90:E90"/>
    <mergeCell ref="A108:E108"/>
    <mergeCell ref="A99:E99"/>
    <mergeCell ref="A105:E105"/>
    <mergeCell ref="A12:E12"/>
    <mergeCell ref="A101:E101"/>
    <mergeCell ref="A113:E113"/>
    <mergeCell ref="A2:E2"/>
    <mergeCell ref="A104:E104"/>
    <mergeCell ref="A97:E97"/>
    <mergeCell ref="A22:E22"/>
    <mergeCell ref="A106:E106"/>
    <mergeCell ref="A109:E109"/>
    <mergeCell ref="A4:E4"/>
    <mergeCell ref="A100:E100"/>
    <mergeCell ref="A112:E112"/>
    <mergeCell ref="A102:E102"/>
    <mergeCell ref="A111:E111"/>
    <mergeCell ref="A92:E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VENTAS MENSUALES ROTISERIA - DETALLE</t>
        </is>
      </c>
    </row>
    <row r="3">
      <c r="A3" s="4" t="inlineStr">
        <is>
          <t>Periodo</t>
        </is>
      </c>
      <c r="B3" s="4" t="inlineStr">
        <is>
          <t>Ventas ($)</t>
        </is>
      </c>
      <c r="C3" s="4" t="inlineStr">
        <is>
          <t>Tickets</t>
        </is>
      </c>
      <c r="D3" s="4" t="inlineStr">
        <is>
          <t>Items</t>
        </is>
      </c>
      <c r="E3" s="4" t="inlineStr">
        <is>
          <t>Ticket Prom</t>
        </is>
      </c>
      <c r="F3" s="4" t="inlineStr">
        <is>
          <t>Efectivo ($)</t>
        </is>
      </c>
      <c r="G3" s="4" t="inlineStr">
        <is>
          <t>Debito ($)</t>
        </is>
      </c>
      <c r="H3" s="4" t="inlineStr">
        <is>
          <t>Credito ($)</t>
        </is>
      </c>
      <c r="I3" s="4" t="inlineStr">
        <is>
          <t>Billetera ($)</t>
        </is>
      </c>
    </row>
    <row r="4">
      <c r="A4" s="5" t="inlineStr">
        <is>
          <t>2024-10</t>
        </is>
      </c>
      <c r="B4" s="6" t="n">
        <v>7105249</v>
      </c>
      <c r="C4" s="6" t="n">
        <v>1169</v>
      </c>
      <c r="D4" s="6" t="n">
        <v>1072</v>
      </c>
      <c r="E4" s="6" t="n">
        <v>6078</v>
      </c>
      <c r="F4" s="6" t="n">
        <v>5341683</v>
      </c>
      <c r="G4" s="22" t="n">
        <v>0</v>
      </c>
      <c r="H4" s="6" t="n">
        <v>1763566</v>
      </c>
      <c r="I4" s="22" t="n">
        <v>0</v>
      </c>
    </row>
    <row r="5">
      <c r="A5" s="5" t="inlineStr">
        <is>
          <t>2024-11</t>
        </is>
      </c>
      <c r="B5" s="6" t="n">
        <v>7662664</v>
      </c>
      <c r="C5" s="6" t="n">
        <v>1181</v>
      </c>
      <c r="D5" s="6" t="n">
        <v>1178</v>
      </c>
      <c r="E5" s="6" t="n">
        <v>6488</v>
      </c>
      <c r="F5" s="6" t="n">
        <v>5936779</v>
      </c>
      <c r="G5" s="22" t="n">
        <v>0</v>
      </c>
      <c r="H5" s="6" t="n">
        <v>1725885</v>
      </c>
      <c r="I5" s="22" t="n">
        <v>0</v>
      </c>
    </row>
    <row r="6">
      <c r="A6" s="5" t="inlineStr">
        <is>
          <t>2024-12</t>
        </is>
      </c>
      <c r="B6" s="6" t="n">
        <v>11671590</v>
      </c>
      <c r="C6" s="6" t="n">
        <v>1351</v>
      </c>
      <c r="D6" s="6" t="n">
        <v>1486</v>
      </c>
      <c r="E6" s="6" t="n">
        <v>8639</v>
      </c>
      <c r="F6" s="6" t="n">
        <v>9444356</v>
      </c>
      <c r="G6" s="22" t="n">
        <v>0</v>
      </c>
      <c r="H6" s="6" t="n">
        <v>2227234</v>
      </c>
      <c r="I6" s="22" t="n">
        <v>0</v>
      </c>
    </row>
    <row r="7">
      <c r="A7" s="5" t="inlineStr">
        <is>
          <t>2025-01</t>
        </is>
      </c>
      <c r="B7" s="6" t="n">
        <v>7840279</v>
      </c>
      <c r="C7" s="6" t="n">
        <v>1119</v>
      </c>
      <c r="D7" s="6" t="n">
        <v>1101</v>
      </c>
      <c r="E7" s="6" t="n">
        <v>7007</v>
      </c>
      <c r="F7" s="6" t="n">
        <v>2061581</v>
      </c>
      <c r="G7" s="6" t="n">
        <v>2399581</v>
      </c>
      <c r="H7" s="6" t="n">
        <v>1883895</v>
      </c>
      <c r="I7" s="6" t="n">
        <v>1495222</v>
      </c>
    </row>
    <row r="8">
      <c r="A8" s="5" t="inlineStr">
        <is>
          <t>2025-02</t>
        </is>
      </c>
      <c r="B8" s="6" t="n">
        <v>8650219</v>
      </c>
      <c r="C8" s="6" t="n">
        <v>1162</v>
      </c>
      <c r="D8" s="6" t="n">
        <v>1341</v>
      </c>
      <c r="E8" s="6" t="n">
        <v>7444</v>
      </c>
      <c r="F8" s="6" t="n">
        <v>2096403</v>
      </c>
      <c r="G8" s="6" t="n">
        <v>2632139</v>
      </c>
      <c r="H8" s="6" t="n">
        <v>2116531</v>
      </c>
      <c r="I8" s="6" t="n">
        <v>1805146</v>
      </c>
    </row>
    <row r="9">
      <c r="A9" s="5" t="inlineStr">
        <is>
          <t>2025-03</t>
        </is>
      </c>
      <c r="B9" s="6" t="n">
        <v>9908083</v>
      </c>
      <c r="C9" s="6" t="n">
        <v>1229</v>
      </c>
      <c r="D9" s="6" t="n">
        <v>1327</v>
      </c>
      <c r="E9" s="6" t="n">
        <v>8062</v>
      </c>
      <c r="F9" s="6" t="n">
        <v>2239398</v>
      </c>
      <c r="G9" s="6" t="n">
        <v>2891471</v>
      </c>
      <c r="H9" s="6" t="n">
        <v>2544396</v>
      </c>
      <c r="I9" s="6" t="n">
        <v>2232819</v>
      </c>
    </row>
    <row r="10">
      <c r="A10" s="5" t="inlineStr">
        <is>
          <t>2025-04</t>
        </is>
      </c>
      <c r="B10" s="6" t="n">
        <v>8768678</v>
      </c>
      <c r="C10" s="6" t="n">
        <v>1152</v>
      </c>
      <c r="D10" s="6" t="n">
        <v>1339</v>
      </c>
      <c r="E10" s="6" t="n">
        <v>7612</v>
      </c>
      <c r="F10" s="6" t="n">
        <v>2132595</v>
      </c>
      <c r="G10" s="6" t="n">
        <v>3171676</v>
      </c>
      <c r="H10" s="6" t="n">
        <v>1902028</v>
      </c>
      <c r="I10" s="6" t="n">
        <v>1562378</v>
      </c>
    </row>
    <row r="11">
      <c r="A11" s="5" t="inlineStr">
        <is>
          <t>2025-05</t>
        </is>
      </c>
      <c r="B11" s="6" t="n">
        <v>9258032</v>
      </c>
      <c r="C11" s="6" t="n">
        <v>1151</v>
      </c>
      <c r="D11" s="6" t="n">
        <v>1253</v>
      </c>
      <c r="E11" s="6" t="n">
        <v>8043</v>
      </c>
      <c r="F11" s="6" t="n">
        <v>2054234</v>
      </c>
      <c r="G11" s="6" t="n">
        <v>3219377</v>
      </c>
      <c r="H11" s="6" t="n">
        <v>2317220</v>
      </c>
      <c r="I11" s="6" t="n">
        <v>1667202</v>
      </c>
    </row>
    <row r="12">
      <c r="A12" s="5" t="inlineStr">
        <is>
          <t>2025-06</t>
        </is>
      </c>
      <c r="B12" s="6" t="n">
        <v>8543948</v>
      </c>
      <c r="C12" s="6" t="n">
        <v>1134</v>
      </c>
      <c r="D12" s="6" t="n">
        <v>1079</v>
      </c>
      <c r="E12" s="6" t="n">
        <v>7534</v>
      </c>
      <c r="F12" s="6" t="n">
        <v>2159884</v>
      </c>
      <c r="G12" s="6" t="n">
        <v>2985806</v>
      </c>
      <c r="H12" s="6" t="n">
        <v>1945272</v>
      </c>
      <c r="I12" s="6" t="n">
        <v>1452986</v>
      </c>
    </row>
    <row r="13">
      <c r="A13" s="5" t="inlineStr">
        <is>
          <t>2025-07</t>
        </is>
      </c>
      <c r="B13" s="6" t="n">
        <v>8845417</v>
      </c>
      <c r="C13" s="6" t="n">
        <v>1118</v>
      </c>
      <c r="D13" s="6" t="n">
        <v>1106</v>
      </c>
      <c r="E13" s="6" t="n">
        <v>7912</v>
      </c>
      <c r="F13" s="6" t="n">
        <v>2082735</v>
      </c>
      <c r="G13" s="6" t="n">
        <v>2985305</v>
      </c>
      <c r="H13" s="6" t="n">
        <v>2031118</v>
      </c>
      <c r="I13" s="6" t="n">
        <v>1746258</v>
      </c>
    </row>
    <row r="14">
      <c r="A14" s="5" t="inlineStr">
        <is>
          <t>2025-08</t>
        </is>
      </c>
      <c r="B14" s="6" t="n">
        <v>9434153</v>
      </c>
      <c r="C14" s="6" t="n">
        <v>1179</v>
      </c>
      <c r="D14" s="6" t="n">
        <v>1219</v>
      </c>
      <c r="E14" s="6" t="n">
        <v>8002</v>
      </c>
      <c r="F14" s="6" t="n">
        <v>2444503</v>
      </c>
      <c r="G14" s="6" t="n">
        <v>3241314</v>
      </c>
      <c r="H14" s="6" t="n">
        <v>1968376</v>
      </c>
      <c r="I14" s="6" t="n">
        <v>1779960</v>
      </c>
    </row>
    <row r="15">
      <c r="A15" s="5" t="inlineStr">
        <is>
          <t>2025-09</t>
        </is>
      </c>
      <c r="B15" s="6" t="n">
        <v>8229173</v>
      </c>
      <c r="C15" s="6" t="n">
        <v>1136</v>
      </c>
      <c r="D15" s="6" t="n">
        <v>1053</v>
      </c>
      <c r="E15" s="6" t="n">
        <v>7244</v>
      </c>
      <c r="F15" s="6" t="n">
        <v>2084794</v>
      </c>
      <c r="G15" s="6" t="n">
        <v>2554151</v>
      </c>
      <c r="H15" s="6" t="n">
        <v>1899723</v>
      </c>
      <c r="I15" s="6" t="n">
        <v>1690505</v>
      </c>
    </row>
    <row r="16">
      <c r="A16" s="5" t="inlineStr">
        <is>
          <t>2025-10</t>
        </is>
      </c>
      <c r="B16" s="6" t="n">
        <v>2732094</v>
      </c>
      <c r="C16" s="6" t="n">
        <v>329</v>
      </c>
      <c r="D16" s="6" t="n">
        <v>302</v>
      </c>
      <c r="E16" s="6" t="n">
        <v>8304</v>
      </c>
      <c r="F16" s="6" t="n">
        <v>1219290</v>
      </c>
      <c r="G16" s="6" t="n">
        <v>742553</v>
      </c>
      <c r="H16" s="6" t="n">
        <v>494054</v>
      </c>
      <c r="I16" s="6" t="n">
        <v>276196</v>
      </c>
    </row>
    <row r="17">
      <c r="A17" s="5" t="inlineStr">
        <is>
          <t>2025-11</t>
        </is>
      </c>
      <c r="B17" s="6" t="n">
        <v>5707462</v>
      </c>
      <c r="C17" s="6" t="n">
        <v>703</v>
      </c>
      <c r="D17" s="6" t="n">
        <v>699</v>
      </c>
      <c r="E17" s="6" t="n">
        <v>8119</v>
      </c>
      <c r="F17" s="6" t="n">
        <v>2642062</v>
      </c>
      <c r="G17" s="6" t="n">
        <v>1578490</v>
      </c>
      <c r="H17" s="6" t="n">
        <v>1486911</v>
      </c>
      <c r="I17" s="22" t="n">
        <v>0</v>
      </c>
    </row>
    <row r="18">
      <c r="A18" s="5" t="inlineStr">
        <is>
          <t>2025-12</t>
        </is>
      </c>
      <c r="B18" s="6" t="n">
        <v>15516515</v>
      </c>
      <c r="C18" s="6" t="n">
        <v>1276</v>
      </c>
      <c r="D18" s="6" t="n">
        <v>1416</v>
      </c>
      <c r="E18" s="6" t="n">
        <v>12160</v>
      </c>
      <c r="F18" s="6" t="n">
        <v>7321766</v>
      </c>
      <c r="G18" s="6" t="n">
        <v>5084330</v>
      </c>
      <c r="H18" s="6" t="n">
        <v>3110419</v>
      </c>
      <c r="I18" s="22" t="n">
        <v>0</v>
      </c>
    </row>
    <row r="19">
      <c r="A19" s="5" t="inlineStr">
        <is>
          <t>2026-01</t>
        </is>
      </c>
      <c r="B19" s="6" t="n">
        <v>9883256</v>
      </c>
      <c r="C19" s="6" t="n">
        <v>1153</v>
      </c>
      <c r="D19" s="6" t="n">
        <v>1329</v>
      </c>
      <c r="E19" s="6" t="n">
        <v>8572</v>
      </c>
      <c r="F19" s="6" t="n">
        <v>4615765</v>
      </c>
      <c r="G19" s="6" t="n">
        <v>3125935</v>
      </c>
      <c r="H19" s="6" t="n">
        <v>264028</v>
      </c>
      <c r="I19" s="22" t="n">
        <v>0</v>
      </c>
    </row>
    <row r="20">
      <c r="A20" s="5" t="inlineStr">
        <is>
          <t>2026-02</t>
        </is>
      </c>
      <c r="B20" s="6" t="n">
        <v>9594977</v>
      </c>
      <c r="C20" s="6" t="n">
        <v>1049</v>
      </c>
      <c r="D20" s="6" t="n">
        <v>1219</v>
      </c>
      <c r="E20" s="6" t="n">
        <v>9147</v>
      </c>
      <c r="F20" s="6" t="n">
        <v>4533022</v>
      </c>
      <c r="G20" s="6" t="n">
        <v>3237470</v>
      </c>
      <c r="H20" s="22" t="n">
        <v>0</v>
      </c>
      <c r="I20" s="22" t="n">
        <v>0</v>
      </c>
    </row>
    <row r="21">
      <c r="A21" s="5" t="inlineStr">
        <is>
          <t>2026-03</t>
        </is>
      </c>
      <c r="B21" s="6" t="n">
        <v>6745218</v>
      </c>
      <c r="C21" s="6" t="n">
        <v>666</v>
      </c>
      <c r="D21" s="6" t="n">
        <v>750</v>
      </c>
      <c r="E21" s="6" t="n">
        <v>10128</v>
      </c>
      <c r="F21" s="6" t="n">
        <v>3319368</v>
      </c>
      <c r="G21" s="6" t="n">
        <v>1883254</v>
      </c>
      <c r="H21" s="22" t="n">
        <v>0</v>
      </c>
      <c r="I21" s="22" t="n">
        <v>0</v>
      </c>
    </row>
    <row r="23">
      <c r="A23" s="7" t="inlineStr">
        <is>
          <t>TOTAL</t>
        </is>
      </c>
      <c r="B23" s="8" t="n">
        <v>156097009</v>
      </c>
      <c r="C23" s="8" t="n">
        <v>19257</v>
      </c>
      <c r="D23" s="8" t="n">
        <v>20270</v>
      </c>
      <c r="E23" s="7" t="inlineStr"/>
      <c r="F23" s="7" t="inlineStr"/>
      <c r="G23" s="7" t="inlineStr"/>
      <c r="H23" s="7" t="inlineStr"/>
      <c r="I23" s="7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PRODUCTOS ROTISERIA - CLASIFICACION ABC</t>
        </is>
      </c>
    </row>
    <row r="3">
      <c r="A3" s="4" t="inlineStr">
        <is>
          <t>Producto</t>
        </is>
      </c>
      <c r="B3" s="4" t="inlineStr">
        <is>
          <t>Ventas ($)</t>
        </is>
      </c>
      <c r="C3" s="4" t="inlineStr">
        <is>
          <t>Cantidad</t>
        </is>
      </c>
      <c r="D3" s="4" t="inlineStr">
        <is>
          <t>Precio Prom ($)</t>
        </is>
      </c>
      <c r="E3" s="4" t="inlineStr">
        <is>
          <t>% Ventas</t>
        </is>
      </c>
      <c r="F3" s="4" t="inlineStr">
        <is>
          <t>% Acum</t>
        </is>
      </c>
    </row>
    <row r="4">
      <c r="A4" s="23" t="inlineStr">
        <is>
          <t>MATAMBRE NINO</t>
        </is>
      </c>
      <c r="B4" s="24" t="n">
        <v>21848114</v>
      </c>
      <c r="C4" s="24" t="n">
        <v>248</v>
      </c>
      <c r="D4" s="24" t="n">
        <v>35085</v>
      </c>
      <c r="E4" s="24" t="n">
        <v>14</v>
      </c>
      <c r="F4" s="24" t="n">
        <v>14</v>
      </c>
    </row>
    <row r="5">
      <c r="A5" s="23" t="inlineStr">
        <is>
          <t>EMPANADA CARNE X 12 UN.</t>
        </is>
      </c>
      <c r="B5" s="24" t="n">
        <v>21267910</v>
      </c>
      <c r="C5" s="24" t="n">
        <v>2520</v>
      </c>
      <c r="D5" s="24" t="n">
        <v>8343</v>
      </c>
      <c r="E5" s="24" t="n">
        <v>13.6</v>
      </c>
      <c r="F5" s="24" t="n">
        <v>27.6</v>
      </c>
    </row>
    <row r="6">
      <c r="A6" s="23" t="inlineStr">
        <is>
          <t>EMPANADA CARNE X 6 UN.</t>
        </is>
      </c>
      <c r="B6" s="24" t="n">
        <v>18840000</v>
      </c>
      <c r="C6" s="24" t="n">
        <v>4367</v>
      </c>
      <c r="D6" s="24" t="n">
        <v>4292</v>
      </c>
      <c r="E6" s="24" t="n">
        <v>12.1</v>
      </c>
      <c r="F6" s="24" t="n">
        <v>39.7</v>
      </c>
    </row>
    <row r="7">
      <c r="A7" s="23" t="inlineStr">
        <is>
          <t>EMPANADA J&amp;Q X 6 UN.</t>
        </is>
      </c>
      <c r="B7" s="24" t="n">
        <v>8315100</v>
      </c>
      <c r="C7" s="24" t="n">
        <v>1937</v>
      </c>
      <c r="D7" s="24" t="n">
        <v>4270</v>
      </c>
      <c r="E7" s="24" t="n">
        <v>5.3</v>
      </c>
      <c r="F7" s="24" t="n">
        <v>45</v>
      </c>
    </row>
    <row r="8">
      <c r="A8" s="23" t="inlineStr">
        <is>
          <t>EMPANADA POLLO X 6 UN.</t>
        </is>
      </c>
      <c r="B8" s="24" t="n">
        <v>7180250</v>
      </c>
      <c r="C8" s="24" t="n">
        <v>1657</v>
      </c>
      <c r="D8" s="24" t="n">
        <v>4321</v>
      </c>
      <c r="E8" s="24" t="n">
        <v>4.6</v>
      </c>
      <c r="F8" s="24" t="n">
        <v>49.6</v>
      </c>
    </row>
    <row r="9">
      <c r="A9" s="23" t="inlineStr">
        <is>
          <t>LENGUA A LA VINAGRETA NINO</t>
        </is>
      </c>
      <c r="B9" s="24" t="n">
        <v>4547066</v>
      </c>
      <c r="C9" s="25" t="n">
        <v>54</v>
      </c>
      <c r="D9" s="24" t="n">
        <v>16005</v>
      </c>
      <c r="E9" s="24" t="n">
        <v>2.9</v>
      </c>
      <c r="F9" s="24" t="n">
        <v>52.5</v>
      </c>
    </row>
    <row r="10">
      <c r="A10" s="23" t="inlineStr">
        <is>
          <t>MIGA TRIP. X 12 UNI.</t>
        </is>
      </c>
      <c r="B10" s="24" t="n">
        <v>4231800</v>
      </c>
      <c r="C10" s="24" t="n">
        <v>494</v>
      </c>
      <c r="D10" s="24" t="n">
        <v>8528</v>
      </c>
      <c r="E10" s="24" t="n">
        <v>2.7</v>
      </c>
      <c r="F10" s="24" t="n">
        <v>55.2</v>
      </c>
    </row>
    <row r="11">
      <c r="A11" s="23" t="inlineStr">
        <is>
          <t>EMPANADA VERDURA X 6 UN.</t>
        </is>
      </c>
      <c r="B11" s="24" t="n">
        <v>4124850</v>
      </c>
      <c r="C11" s="24" t="n">
        <v>965</v>
      </c>
      <c r="D11" s="24" t="n">
        <v>4257</v>
      </c>
      <c r="E11" s="24" t="n">
        <v>2.6</v>
      </c>
      <c r="F11" s="24" t="n">
        <v>57.9</v>
      </c>
    </row>
    <row r="12">
      <c r="A12" s="23" t="inlineStr">
        <is>
          <t>EMPANADA HUMITA X 6 UN.</t>
        </is>
      </c>
      <c r="B12" s="24" t="n">
        <v>3978000</v>
      </c>
      <c r="C12" s="24" t="n">
        <v>936</v>
      </c>
      <c r="D12" s="24" t="n">
        <v>4241</v>
      </c>
      <c r="E12" s="24" t="n">
        <v>2.5</v>
      </c>
      <c r="F12" s="24" t="n">
        <v>60.4</v>
      </c>
    </row>
    <row r="13">
      <c r="A13" s="23" t="inlineStr">
        <is>
          <t>PERNIL DE CERDO HORNEADO NINO</t>
        </is>
      </c>
      <c r="B13" s="24" t="n">
        <v>3952006</v>
      </c>
      <c r="C13" s="25" t="n">
        <v>66</v>
      </c>
      <c r="D13" s="24" t="n">
        <v>22047</v>
      </c>
      <c r="E13" s="24" t="n">
        <v>2.5</v>
      </c>
      <c r="F13" s="24" t="n">
        <v>63</v>
      </c>
    </row>
    <row r="14">
      <c r="A14" s="23" t="inlineStr">
        <is>
          <t>PIZZA C/JAMON NINO</t>
        </is>
      </c>
      <c r="B14" s="24" t="n">
        <v>3599100</v>
      </c>
      <c r="C14" s="24" t="n">
        <v>446</v>
      </c>
      <c r="D14" s="24" t="n">
        <v>7997</v>
      </c>
      <c r="E14" s="24" t="n">
        <v>2.3</v>
      </c>
      <c r="F14" s="24" t="n">
        <v>65.3</v>
      </c>
    </row>
    <row r="15">
      <c r="A15" s="23" t="inlineStr">
        <is>
          <t>EMPANADA CAPRESE X 6 UN.</t>
        </is>
      </c>
      <c r="B15" s="24" t="n">
        <v>3584500</v>
      </c>
      <c r="C15" s="24" t="n">
        <v>834</v>
      </c>
      <c r="D15" s="24" t="n">
        <v>4262</v>
      </c>
      <c r="E15" s="24" t="n">
        <v>2.3</v>
      </c>
      <c r="F15" s="24" t="n">
        <v>67.59999999999999</v>
      </c>
    </row>
    <row r="16">
      <c r="A16" s="23" t="inlineStr">
        <is>
          <t>ARROLLADO DE POLLO NINO</t>
        </is>
      </c>
      <c r="B16" s="24" t="n">
        <v>3516596</v>
      </c>
      <c r="C16" s="25" t="n">
        <v>72</v>
      </c>
      <c r="D16" s="24" t="n">
        <v>23536</v>
      </c>
      <c r="E16" s="24" t="n">
        <v>2.3</v>
      </c>
      <c r="F16" s="24" t="n">
        <v>69.8</v>
      </c>
    </row>
    <row r="17">
      <c r="A17" s="23" t="inlineStr">
        <is>
          <t>CANELONES CAR Y VER NINO</t>
        </is>
      </c>
      <c r="B17" s="24" t="n">
        <v>3500210</v>
      </c>
      <c r="C17" s="24" t="n">
        <v>421</v>
      </c>
      <c r="D17" s="24" t="n">
        <v>10984</v>
      </c>
      <c r="E17" s="24" t="n">
        <v>2.2</v>
      </c>
      <c r="F17" s="24" t="n">
        <v>72.09999999999999</v>
      </c>
    </row>
    <row r="18">
      <c r="A18" s="23" t="inlineStr">
        <is>
          <t>PIZZA MUZZARELLA NINO</t>
        </is>
      </c>
      <c r="B18" s="24" t="n">
        <v>3428000</v>
      </c>
      <c r="C18" s="24" t="n">
        <v>540</v>
      </c>
      <c r="D18" s="24" t="n">
        <v>6308</v>
      </c>
      <c r="E18" s="24" t="n">
        <v>2.2</v>
      </c>
      <c r="F18" s="24" t="n">
        <v>74.3</v>
      </c>
    </row>
    <row r="19">
      <c r="A19" s="23" t="inlineStr">
        <is>
          <t>SALSA BOLOGNESA NINO</t>
        </is>
      </c>
      <c r="B19" s="24" t="n">
        <v>3291113</v>
      </c>
      <c r="C19" s="24" t="n">
        <v>476</v>
      </c>
      <c r="D19" s="24" t="n">
        <v>7335</v>
      </c>
      <c r="E19" s="24" t="n">
        <v>2.1</v>
      </c>
      <c r="F19" s="24" t="n">
        <v>76.40000000000001</v>
      </c>
    </row>
    <row r="20">
      <c r="A20" s="23" t="inlineStr">
        <is>
          <t>MIGA TRIP. X 6 UNI.</t>
        </is>
      </c>
      <c r="B20" s="24" t="n">
        <v>3003880</v>
      </c>
      <c r="C20" s="24" t="n">
        <v>680</v>
      </c>
      <c r="D20" s="24" t="n">
        <v>4366</v>
      </c>
      <c r="E20" s="24" t="n">
        <v>1.9</v>
      </c>
      <c r="F20" s="24" t="n">
        <v>78.3</v>
      </c>
    </row>
    <row r="21">
      <c r="A21" s="16" t="inlineStr">
        <is>
          <t>EMPANADA J&amp;Q X 12 UN.</t>
        </is>
      </c>
      <c r="B21" s="17" t="n">
        <v>2985400</v>
      </c>
      <c r="C21" s="17" t="n">
        <v>353</v>
      </c>
      <c r="D21" s="17" t="n">
        <v>8475</v>
      </c>
      <c r="E21" s="17" t="n">
        <v>1.9</v>
      </c>
      <c r="F21" s="17" t="n">
        <v>80.2</v>
      </c>
    </row>
    <row r="22">
      <c r="A22" s="16" t="inlineStr">
        <is>
          <t>EMPANADA CEB/QUEX 6 UN.</t>
        </is>
      </c>
      <c r="B22" s="17" t="n">
        <v>2909900</v>
      </c>
      <c r="C22" s="17" t="n">
        <v>670</v>
      </c>
      <c r="D22" s="17" t="n">
        <v>4317</v>
      </c>
      <c r="E22" s="17" t="n">
        <v>1.9</v>
      </c>
      <c r="F22" s="17" t="n">
        <v>82.09999999999999</v>
      </c>
    </row>
    <row r="23">
      <c r="A23" s="16" t="inlineStr">
        <is>
          <t>TORTILLA DE PAPA NINO</t>
        </is>
      </c>
      <c r="B23" s="17" t="n">
        <v>2737178</v>
      </c>
      <c r="C23" s="26" t="n">
        <v>83</v>
      </c>
      <c r="D23" s="17" t="n">
        <v>7284</v>
      </c>
      <c r="E23" s="17" t="n">
        <v>1.8</v>
      </c>
      <c r="F23" s="17" t="n">
        <v>83.8</v>
      </c>
    </row>
    <row r="24">
      <c r="A24" s="16" t="inlineStr">
        <is>
          <t>PATITAS ALIÑADAS NINO</t>
        </is>
      </c>
      <c r="B24" s="17" t="n">
        <v>2646077</v>
      </c>
      <c r="C24" s="26" t="n">
        <v>76</v>
      </c>
      <c r="D24" s="17" t="n">
        <v>7533</v>
      </c>
      <c r="E24" s="17" t="n">
        <v>1.7</v>
      </c>
      <c r="F24" s="17" t="n">
        <v>85.5</v>
      </c>
    </row>
    <row r="25">
      <c r="A25" s="16" t="inlineStr">
        <is>
          <t>ENSALADA RUSA NINO</t>
        </is>
      </c>
      <c r="B25" s="17" t="n">
        <v>2565688</v>
      </c>
      <c r="C25" s="17" t="n">
        <v>161</v>
      </c>
      <c r="D25" s="17" t="n">
        <v>4397</v>
      </c>
      <c r="E25" s="17" t="n">
        <v>1.6</v>
      </c>
      <c r="F25" s="17" t="n">
        <v>87.2</v>
      </c>
    </row>
    <row r="26">
      <c r="A26" s="16" t="inlineStr">
        <is>
          <t>ENSALADA MIXTA NINO</t>
        </is>
      </c>
      <c r="B26" s="17" t="n">
        <v>2369794</v>
      </c>
      <c r="C26" s="17" t="n">
        <v>224</v>
      </c>
      <c r="D26" s="17" t="n">
        <v>4224</v>
      </c>
      <c r="E26" s="17" t="n">
        <v>1.5</v>
      </c>
      <c r="F26" s="17" t="n">
        <v>88.7</v>
      </c>
    </row>
    <row r="27">
      <c r="A27" s="16" t="inlineStr">
        <is>
          <t>ROTISERIA</t>
        </is>
      </c>
      <c r="B27" s="17" t="n">
        <v>2348123</v>
      </c>
      <c r="C27" s="17" t="n">
        <v>112</v>
      </c>
      <c r="D27" s="17" t="n">
        <v>20965</v>
      </c>
      <c r="E27" s="17" t="n">
        <v>1.5</v>
      </c>
      <c r="F27" s="17" t="n">
        <v>90.2</v>
      </c>
    </row>
    <row r="28">
      <c r="A28" s="16" t="inlineStr">
        <is>
          <t>ARROZ CON POLLO</t>
        </is>
      </c>
      <c r="B28" s="17" t="n">
        <v>1409643</v>
      </c>
      <c r="C28" s="17" t="n">
        <v>284</v>
      </c>
      <c r="D28" s="17" t="n">
        <v>7172</v>
      </c>
      <c r="E28" s="17" t="n">
        <v>0.9</v>
      </c>
      <c r="F28" s="17" t="n">
        <v>91.09999999999999</v>
      </c>
    </row>
    <row r="29">
      <c r="A29" s="16" t="inlineStr">
        <is>
          <t>CANELONES VERD Y RIC NINO</t>
        </is>
      </c>
      <c r="B29" s="17" t="n">
        <v>1396833</v>
      </c>
      <c r="C29" s="17" t="n">
        <v>169</v>
      </c>
      <c r="D29" s="17" t="n">
        <v>10788</v>
      </c>
      <c r="E29" s="17" t="n">
        <v>0.9</v>
      </c>
      <c r="F29" s="17" t="n">
        <v>92</v>
      </c>
    </row>
    <row r="30">
      <c r="A30" s="16" t="inlineStr">
        <is>
          <t>EMPANADA ATUN X 6 UN.</t>
        </is>
      </c>
      <c r="B30" s="17" t="n">
        <v>1375350</v>
      </c>
      <c r="C30" s="17" t="n">
        <v>282</v>
      </c>
      <c r="D30" s="17" t="n">
        <v>4877</v>
      </c>
      <c r="E30" s="17" t="n">
        <v>0.9</v>
      </c>
      <c r="F30" s="17" t="n">
        <v>92.90000000000001</v>
      </c>
    </row>
    <row r="31">
      <c r="A31" s="16" t="inlineStr">
        <is>
          <t>BERENJENAS EN ESCABECHE NINO</t>
        </is>
      </c>
      <c r="B31" s="17" t="n">
        <v>1345642</v>
      </c>
      <c r="C31" s="26" t="n">
        <v>44</v>
      </c>
      <c r="D31" s="17" t="n">
        <v>8168</v>
      </c>
      <c r="E31" s="17" t="n">
        <v>0.9</v>
      </c>
      <c r="F31" s="17" t="n">
        <v>93.7</v>
      </c>
    </row>
    <row r="32">
      <c r="A32" s="16" t="inlineStr">
        <is>
          <t>MIGA TRIPLE X 100 UN.</t>
        </is>
      </c>
      <c r="B32" s="17" t="n">
        <v>1296900</v>
      </c>
      <c r="C32" s="26" t="n">
        <v>22</v>
      </c>
      <c r="D32" s="17" t="n">
        <v>44907</v>
      </c>
      <c r="E32" s="17" t="n">
        <v>0.8</v>
      </c>
      <c r="F32" s="17" t="n">
        <v>94.59999999999999</v>
      </c>
    </row>
    <row r="33">
      <c r="A33" s="5" t="inlineStr">
        <is>
          <t>POROTOS ALIÑADOS NINO</t>
        </is>
      </c>
      <c r="B33" s="6" t="n">
        <v>1292645</v>
      </c>
      <c r="C33" s="22" t="n">
        <v>24</v>
      </c>
      <c r="D33" s="6" t="n">
        <v>8735</v>
      </c>
      <c r="E33" s="6" t="n">
        <v>0.8</v>
      </c>
      <c r="F33" s="6" t="n">
        <v>95.40000000000001</v>
      </c>
    </row>
    <row r="34">
      <c r="A34" s="5" t="inlineStr">
        <is>
          <t>CANELONES HUMITA NINO</t>
        </is>
      </c>
      <c r="B34" s="6" t="n">
        <v>1241353</v>
      </c>
      <c r="C34" s="6" t="n">
        <v>145</v>
      </c>
      <c r="D34" s="6" t="n">
        <v>11069</v>
      </c>
      <c r="E34" s="6" t="n">
        <v>0.8</v>
      </c>
      <c r="F34" s="6" t="n">
        <v>96.2</v>
      </c>
    </row>
    <row r="35">
      <c r="A35" s="5" t="inlineStr">
        <is>
          <t>EMPANADA CARNE X 18 UN.</t>
        </is>
      </c>
      <c r="B35" s="6" t="n">
        <v>1189200</v>
      </c>
      <c r="C35" s="22" t="n">
        <v>92</v>
      </c>
      <c r="D35" s="6" t="n">
        <v>12651</v>
      </c>
      <c r="E35" s="6" t="n">
        <v>0.8</v>
      </c>
      <c r="F35" s="6" t="n">
        <v>96.90000000000001</v>
      </c>
    </row>
    <row r="36">
      <c r="A36" s="5" t="inlineStr">
        <is>
          <t>LOCRO NINO PORCION X 600 GRS</t>
        </is>
      </c>
      <c r="B36" s="6" t="n">
        <v>829000</v>
      </c>
      <c r="C36" s="6" t="n">
        <v>104</v>
      </c>
      <c r="D36" s="6" t="n">
        <v>8044</v>
      </c>
      <c r="E36" s="6" t="n">
        <v>0.5</v>
      </c>
      <c r="F36" s="6" t="n">
        <v>97.5</v>
      </c>
    </row>
    <row r="37">
      <c r="A37" s="5" t="inlineStr">
        <is>
          <t>CUERITOS DE CERDO ALIÑADOS NINO</t>
        </is>
      </c>
      <c r="B37" s="6" t="n">
        <v>626764</v>
      </c>
      <c r="C37" s="22" t="n">
        <v>25</v>
      </c>
      <c r="D37" s="6" t="n">
        <v>5323</v>
      </c>
      <c r="E37" s="6" t="n">
        <v>0.4</v>
      </c>
      <c r="F37" s="6" t="n">
        <v>97.90000000000001</v>
      </c>
    </row>
    <row r="38">
      <c r="A38" s="5" t="inlineStr">
        <is>
          <t>GUISO DE MONDONGO</t>
        </is>
      </c>
      <c r="B38" s="6" t="n">
        <v>606344</v>
      </c>
      <c r="C38" s="22" t="n">
        <v>7</v>
      </c>
      <c r="D38" s="6" t="n">
        <v>8557</v>
      </c>
      <c r="E38" s="6" t="n">
        <v>0.4</v>
      </c>
      <c r="F38" s="6" t="n">
        <v>98.3</v>
      </c>
    </row>
    <row r="39">
      <c r="A39" s="5" t="inlineStr">
        <is>
          <t>EMPANADA POLLO X 12 UN.</t>
        </is>
      </c>
      <c r="B39" s="6" t="n">
        <v>455800</v>
      </c>
      <c r="C39" s="22" t="n">
        <v>58</v>
      </c>
      <c r="D39" s="6" t="n">
        <v>7880</v>
      </c>
      <c r="E39" s="6" t="n">
        <v>0.3</v>
      </c>
      <c r="F39" s="6" t="n">
        <v>98.59999999999999</v>
      </c>
    </row>
    <row r="40">
      <c r="A40" s="5" t="inlineStr">
        <is>
          <t>EMPANADA HUMITA X 12 UN.</t>
        </is>
      </c>
      <c r="B40" s="6" t="n">
        <v>289900</v>
      </c>
      <c r="C40" s="22" t="n">
        <v>35</v>
      </c>
      <c r="D40" s="6" t="n">
        <v>8267</v>
      </c>
      <c r="E40" s="6" t="n">
        <v>0.2</v>
      </c>
      <c r="F40" s="6" t="n">
        <v>98.7</v>
      </c>
    </row>
    <row r="41">
      <c r="A41" s="5" t="inlineStr">
        <is>
          <t>CEBOLLITAS EN ESCABECHE NINO</t>
        </is>
      </c>
      <c r="B41" s="6" t="n">
        <v>188480</v>
      </c>
      <c r="C41" s="22" t="n">
        <v>11</v>
      </c>
      <c r="D41" s="6" t="n">
        <v>4317</v>
      </c>
      <c r="E41" s="6" t="n">
        <v>0.1</v>
      </c>
      <c r="F41" s="6" t="n">
        <v>98.90000000000001</v>
      </c>
    </row>
    <row r="42">
      <c r="A42" s="5" t="inlineStr">
        <is>
          <t>EMPANADA SURTIDAS X 6UN.</t>
        </is>
      </c>
      <c r="B42" s="6" t="n">
        <v>180350</v>
      </c>
      <c r="C42" s="22" t="n">
        <v>46</v>
      </c>
      <c r="D42" s="6" t="n">
        <v>3972</v>
      </c>
      <c r="E42" s="6" t="n">
        <v>0.1</v>
      </c>
      <c r="F42" s="6" t="n">
        <v>99</v>
      </c>
    </row>
    <row r="43">
      <c r="A43" s="5" t="inlineStr">
        <is>
          <t>PIZZA FUGAZZA NINO</t>
        </is>
      </c>
      <c r="B43" s="6" t="n">
        <v>170540</v>
      </c>
      <c r="C43" s="22" t="n">
        <v>37</v>
      </c>
      <c r="D43" s="6" t="n">
        <v>4632</v>
      </c>
      <c r="E43" s="6" t="n">
        <v>0.1</v>
      </c>
      <c r="F43" s="6" t="n">
        <v>99.09999999999999</v>
      </c>
    </row>
    <row r="44">
      <c r="A44" s="5" t="inlineStr">
        <is>
          <t>EMPANADA J&amp;Q X 18 UN.</t>
        </is>
      </c>
      <c r="B44" s="6" t="n">
        <v>159150</v>
      </c>
      <c r="C44" s="22" t="n">
        <v>12</v>
      </c>
      <c r="D44" s="6" t="n">
        <v>13262</v>
      </c>
      <c r="E44" s="6" t="n">
        <v>0.1</v>
      </c>
      <c r="F44" s="6" t="n">
        <v>99.2</v>
      </c>
    </row>
    <row r="45">
      <c r="A45" s="5" t="inlineStr">
        <is>
          <t>EMPANADA CAPRESE X12 UN.</t>
        </is>
      </c>
      <c r="B45" s="6" t="n">
        <v>128100</v>
      </c>
      <c r="C45" s="22" t="n">
        <v>14</v>
      </c>
      <c r="D45" s="6" t="n">
        <v>9200</v>
      </c>
      <c r="E45" s="6" t="n">
        <v>0.1</v>
      </c>
      <c r="F45" s="6" t="n">
        <v>99.3</v>
      </c>
    </row>
    <row r="46">
      <c r="A46" s="5" t="inlineStr">
        <is>
          <t>EMPANADA POR UNIDAD</t>
        </is>
      </c>
      <c r="B46" s="6" t="n">
        <v>126850</v>
      </c>
      <c r="C46" s="6" t="n">
        <v>158</v>
      </c>
      <c r="D46" s="6" t="n">
        <v>806</v>
      </c>
      <c r="E46" s="6" t="n">
        <v>0.1</v>
      </c>
      <c r="F46" s="6" t="n">
        <v>99.3</v>
      </c>
    </row>
    <row r="47">
      <c r="A47" s="5" t="inlineStr">
        <is>
          <t>MIGA SIMP. J Y Q X 100 U</t>
        </is>
      </c>
      <c r="B47" s="6" t="n">
        <v>122000</v>
      </c>
      <c r="C47" s="22" t="n">
        <v>2</v>
      </c>
      <c r="D47" s="6" t="n">
        <v>15250</v>
      </c>
      <c r="E47" s="6" t="n">
        <v>0.1</v>
      </c>
      <c r="F47" s="6" t="n">
        <v>99.40000000000001</v>
      </c>
    </row>
    <row r="48">
      <c r="A48" s="5" t="inlineStr">
        <is>
          <t>EMPANADA CARNE X 3 UN.</t>
        </is>
      </c>
      <c r="B48" s="6" t="n">
        <v>100700</v>
      </c>
      <c r="C48" s="22" t="n">
        <v>45</v>
      </c>
      <c r="D48" s="6" t="n">
        <v>2238</v>
      </c>
      <c r="E48" s="6" t="n">
        <v>0.1</v>
      </c>
      <c r="F48" s="6" t="n">
        <v>99.5</v>
      </c>
    </row>
    <row r="49">
      <c r="A49" s="5" t="inlineStr">
        <is>
          <t>EMPANADA POLLO X 3 UN.</t>
        </is>
      </c>
      <c r="B49" s="6" t="n">
        <v>83500</v>
      </c>
      <c r="C49" s="22" t="n">
        <v>38</v>
      </c>
      <c r="D49" s="6" t="n">
        <v>2197</v>
      </c>
      <c r="E49" s="6" t="n">
        <v>0.1</v>
      </c>
      <c r="F49" s="6" t="n">
        <v>99.5</v>
      </c>
    </row>
    <row r="50">
      <c r="A50" s="5" t="inlineStr">
        <is>
          <t>EMPANADA VERDURA X 12 UN.</t>
        </is>
      </c>
      <c r="B50" s="6" t="n">
        <v>83500</v>
      </c>
      <c r="C50" s="22" t="n">
        <v>10</v>
      </c>
      <c r="D50" s="6" t="n">
        <v>8350</v>
      </c>
      <c r="E50" s="6" t="n">
        <v>0.1</v>
      </c>
      <c r="F50" s="6" t="n">
        <v>99.59999999999999</v>
      </c>
    </row>
    <row r="51">
      <c r="A51" s="5" t="inlineStr">
        <is>
          <t>EMPANADA CAPRESE X 3 UN.</t>
        </is>
      </c>
      <c r="B51" s="6" t="n">
        <v>79300</v>
      </c>
      <c r="C51" s="22" t="n">
        <v>36</v>
      </c>
      <c r="D51" s="6" t="n">
        <v>2083</v>
      </c>
      <c r="E51" s="6" t="n">
        <v>0.1</v>
      </c>
      <c r="F51" s="6" t="n">
        <v>99.59999999999999</v>
      </c>
    </row>
    <row r="52">
      <c r="A52" s="5" t="inlineStr">
        <is>
          <t>ALIÑO CHIMICHURRI NINO</t>
        </is>
      </c>
      <c r="B52" s="6" t="n">
        <v>77342</v>
      </c>
      <c r="C52" s="22" t="n">
        <v>1</v>
      </c>
      <c r="D52" s="6" t="n">
        <v>12736</v>
      </c>
      <c r="E52" s="6" t="n">
        <v>0</v>
      </c>
      <c r="F52" s="6" t="n">
        <v>99.7</v>
      </c>
    </row>
    <row r="53">
      <c r="A53" s="5" t="inlineStr">
        <is>
          <t>EMPANADA ATUN X 12 UN.</t>
        </is>
      </c>
      <c r="B53" s="6" t="n">
        <v>76800</v>
      </c>
      <c r="C53" s="22" t="n">
        <v>8</v>
      </c>
      <c r="D53" s="6" t="n">
        <v>9600</v>
      </c>
      <c r="E53" s="6" t="n">
        <v>0</v>
      </c>
      <c r="F53" s="6" t="n">
        <v>99.7</v>
      </c>
    </row>
    <row r="54">
      <c r="A54" s="5" t="inlineStr">
        <is>
          <t>EMPANADA J&amp;Q X 3 UN.</t>
        </is>
      </c>
      <c r="B54" s="6" t="n">
        <v>59650</v>
      </c>
      <c r="C54" s="22" t="n">
        <v>26</v>
      </c>
      <c r="D54" s="6" t="n">
        <v>2218</v>
      </c>
      <c r="E54" s="6" t="n">
        <v>0</v>
      </c>
      <c r="F54" s="6" t="n">
        <v>99.8</v>
      </c>
    </row>
    <row r="55">
      <c r="A55" s="5" t="inlineStr">
        <is>
          <t>EMPANADA CEB/QUEX12 UN.</t>
        </is>
      </c>
      <c r="B55" s="6" t="n">
        <v>52200</v>
      </c>
      <c r="C55" s="22" t="n">
        <v>6</v>
      </c>
      <c r="D55" s="6" t="n">
        <v>8460</v>
      </c>
      <c r="E55" s="6" t="n">
        <v>0</v>
      </c>
      <c r="F55" s="6" t="n">
        <v>99.8</v>
      </c>
    </row>
    <row r="56">
      <c r="A56" s="5" t="inlineStr">
        <is>
          <t>EMPANADA CEB/QUE X 3 UN.</t>
        </is>
      </c>
      <c r="B56" s="6" t="n">
        <v>51700</v>
      </c>
      <c r="C56" s="22" t="n">
        <v>23</v>
      </c>
      <c r="D56" s="6" t="n">
        <v>2248</v>
      </c>
      <c r="E56" s="6" t="n">
        <v>0</v>
      </c>
      <c r="F56" s="6" t="n">
        <v>99.90000000000001</v>
      </c>
    </row>
    <row r="57">
      <c r="A57" s="5" t="inlineStr">
        <is>
          <t>EMPANADA ATUN X 3 UN.</t>
        </is>
      </c>
      <c r="B57" s="6" t="n">
        <v>45100</v>
      </c>
      <c r="C57" s="22" t="n">
        <v>19</v>
      </c>
      <c r="D57" s="6" t="n">
        <v>2374</v>
      </c>
      <c r="E57" s="6" t="n">
        <v>0</v>
      </c>
      <c r="F57" s="6" t="n">
        <v>99.90000000000001</v>
      </c>
    </row>
    <row r="58">
      <c r="A58" s="5" t="inlineStr">
        <is>
          <t>PANQUEQUES NINO 6 UNI.</t>
        </is>
      </c>
      <c r="B58" s="6" t="n">
        <v>40600</v>
      </c>
      <c r="C58" s="22" t="n">
        <v>28</v>
      </c>
      <c r="D58" s="6" t="n">
        <v>1467</v>
      </c>
      <c r="E58" s="6" t="n">
        <v>0</v>
      </c>
      <c r="F58" s="6" t="n">
        <v>99.90000000000001</v>
      </c>
    </row>
    <row r="59">
      <c r="A59" s="5" t="inlineStr">
        <is>
          <t>EMPANADA HUMITA X 3 UN.</t>
        </is>
      </c>
      <c r="B59" s="6" t="n">
        <v>37550</v>
      </c>
      <c r="C59" s="22" t="n">
        <v>17</v>
      </c>
      <c r="D59" s="6" t="n">
        <v>2209</v>
      </c>
      <c r="E59" s="6" t="n">
        <v>0</v>
      </c>
      <c r="F59" s="6" t="n">
        <v>99.90000000000001</v>
      </c>
    </row>
    <row r="60">
      <c r="A60" s="5" t="inlineStr">
        <is>
          <t>MIGA TRIPLE X 50 UN.</t>
        </is>
      </c>
      <c r="B60" s="6" t="n">
        <v>35800</v>
      </c>
      <c r="C60" s="22" t="n">
        <v>1</v>
      </c>
      <c r="D60" s="6" t="n">
        <v>35800</v>
      </c>
      <c r="E60" s="6" t="n">
        <v>0</v>
      </c>
      <c r="F60" s="6" t="n">
        <v>100</v>
      </c>
    </row>
    <row r="61">
      <c r="A61" s="5" t="inlineStr">
        <is>
          <t>MIGA SAL /QUE X 12 UN.</t>
        </is>
      </c>
      <c r="B61" s="6" t="n">
        <v>21000</v>
      </c>
      <c r="C61" s="22" t="n">
        <v>2</v>
      </c>
      <c r="D61" s="6" t="n">
        <v>10500</v>
      </c>
      <c r="E61" s="6" t="n">
        <v>0</v>
      </c>
      <c r="F61" s="6" t="n">
        <v>100</v>
      </c>
    </row>
    <row r="62">
      <c r="A62" s="5" t="inlineStr">
        <is>
          <t>EMPANADA VERDURA X 3 UN.</t>
        </is>
      </c>
      <c r="B62" s="6" t="n">
        <v>19200</v>
      </c>
      <c r="C62" s="22" t="n">
        <v>9</v>
      </c>
      <c r="D62" s="6" t="n">
        <v>2133</v>
      </c>
      <c r="E62" s="6" t="n">
        <v>0</v>
      </c>
      <c r="F62" s="6" t="n">
        <v>100</v>
      </c>
    </row>
    <row r="63">
      <c r="A63" s="5" t="inlineStr">
        <is>
          <t>EMPANADA POLLO X 1 UN.</t>
        </is>
      </c>
      <c r="B63" s="6" t="n">
        <v>14900</v>
      </c>
      <c r="C63" s="22" t="n">
        <v>20</v>
      </c>
      <c r="D63" s="6" t="n">
        <v>745</v>
      </c>
      <c r="E63" s="6" t="n">
        <v>0</v>
      </c>
      <c r="F63" s="6" t="n">
        <v>100</v>
      </c>
    </row>
    <row r="64">
      <c r="A64" s="5" t="inlineStr">
        <is>
          <t>EMPANADA ATUN 1 UN.</t>
        </is>
      </c>
      <c r="B64" s="6" t="n">
        <v>6500</v>
      </c>
      <c r="C64" s="22" t="n">
        <v>8</v>
      </c>
      <c r="D64" s="6" t="n">
        <v>812</v>
      </c>
      <c r="E64" s="6" t="n">
        <v>0</v>
      </c>
      <c r="F64" s="6" t="n">
        <v>100</v>
      </c>
    </row>
    <row r="65">
      <c r="A65" s="5" t="inlineStr">
        <is>
          <t>EMPANADA CEB/QUE X 1UN.</t>
        </is>
      </c>
      <c r="B65" s="6" t="n">
        <v>5900</v>
      </c>
      <c r="C65" s="22" t="n">
        <v>8</v>
      </c>
      <c r="D65" s="6" t="n">
        <v>738</v>
      </c>
      <c r="E65" s="6" t="n">
        <v>0</v>
      </c>
      <c r="F65" s="6" t="n">
        <v>100</v>
      </c>
    </row>
    <row r="66">
      <c r="A66" s="5" t="inlineStr">
        <is>
          <t>MIGA SAL / QUE X 6 UN.</t>
        </is>
      </c>
      <c r="B66" s="6" t="n">
        <v>4050</v>
      </c>
      <c r="C66" s="22" t="n">
        <v>1</v>
      </c>
      <c r="D66" s="6" t="n">
        <v>4050</v>
      </c>
      <c r="E66" s="6" t="n">
        <v>0</v>
      </c>
      <c r="F66" s="6" t="n">
        <v>100</v>
      </c>
    </row>
    <row r="67">
      <c r="A67" s="5" t="inlineStr">
        <is>
          <t>VITEL TONE NINO</t>
        </is>
      </c>
      <c r="B67" s="6" t="n">
        <v>218</v>
      </c>
      <c r="C67" s="22" t="n">
        <v>0</v>
      </c>
      <c r="D67" s="6" t="n">
        <v>1900</v>
      </c>
      <c r="E67" s="6" t="n">
        <v>0</v>
      </c>
      <c r="F67" s="6" t="n">
        <v>100</v>
      </c>
    </row>
    <row r="69">
      <c r="A69" s="2" t="inlineStr">
        <is>
          <t xml:space="preserve">  Verde = Core (80%) | Amarillo = Complementario (80-95%) | Sin color = Marginal</t>
        </is>
      </c>
    </row>
  </sheetData>
  <mergeCells count="2">
    <mergeCell ref="A69:F6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30" customWidth="1" min="8" max="8"/>
  </cols>
  <sheetData>
    <row r="1">
      <c r="A1" s="1" t="inlineStr">
        <is>
          <t>COSTEO POR RECETA - INSUMOS ROTISERIA NINO</t>
        </is>
      </c>
    </row>
    <row r="2">
      <c r="A2" s="2" t="inlineStr">
        <is>
          <t>Precios insumos: sistema POS supermercado NINO × 0.70 (costo mayorista estimado) | Validacion del margen 30%</t>
        </is>
      </c>
    </row>
    <row r="4">
      <c r="A4" s="3" t="inlineStr">
        <is>
          <t>PRECIOS DE INSUMOS (sistema POS supermercado)</t>
        </is>
      </c>
    </row>
    <row r="5">
      <c r="A5" s="4" t="inlineStr">
        <is>
          <t>Insumo</t>
        </is>
      </c>
      <c r="B5" s="4" t="inlineStr">
        <is>
          <t>Precio Retail</t>
        </is>
      </c>
      <c r="C5" s="4" t="inlineStr">
        <is>
          <t>Unidad</t>
        </is>
      </c>
      <c r="D5" s="4" t="inlineStr">
        <is>
          <t>Costo Est. (×0.70)</t>
        </is>
      </c>
      <c r="E5" s="4" t="inlineStr"/>
      <c r="F5" s="4" t="inlineStr"/>
      <c r="G5" s="4" t="inlineStr"/>
      <c r="H5" s="4" t="inlineStr">
        <is>
          <t>Fuente</t>
        </is>
      </c>
    </row>
    <row r="6">
      <c r="A6" s="9" t="inlineStr">
        <is>
          <t>Carne picada especial</t>
        </is>
      </c>
      <c r="B6" s="12" t="n">
        <v>12200</v>
      </c>
      <c r="C6" s="9" t="inlineStr">
        <is>
          <t>$/kg</t>
        </is>
      </c>
      <c r="D6" s="12" t="n">
        <v>8540</v>
      </c>
      <c r="E6" s="9" t="inlineStr"/>
      <c r="F6" s="9" t="inlineStr"/>
      <c r="G6" s="9" t="inlineStr"/>
      <c r="H6" s="9" t="inlineStr">
        <is>
          <t>CARNICERIA - MOLIDA ESPECIAL</t>
        </is>
      </c>
    </row>
    <row r="7">
      <c r="A7" s="9" t="inlineStr">
        <is>
          <t>Matambre vacuno crudo</t>
        </is>
      </c>
      <c r="B7" s="12" t="n">
        <v>18020</v>
      </c>
      <c r="C7" s="9" t="inlineStr">
        <is>
          <t>$/kg</t>
        </is>
      </c>
      <c r="D7" s="12" t="n">
        <v>12614</v>
      </c>
      <c r="E7" s="9" t="inlineStr"/>
      <c r="F7" s="9" t="inlineStr"/>
      <c r="G7" s="9" t="inlineStr"/>
      <c r="H7" s="9" t="inlineStr">
        <is>
          <t>CARNICERIA - MATAMBRE</t>
        </is>
      </c>
    </row>
    <row r="8">
      <c r="A8" s="9" t="inlineStr">
        <is>
          <t>Pollo entero</t>
        </is>
      </c>
      <c r="B8" s="12" t="n">
        <v>3900</v>
      </c>
      <c r="C8" s="9" t="inlineStr">
        <is>
          <t>$/kg</t>
        </is>
      </c>
      <c r="D8" s="12" t="n">
        <v>2730</v>
      </c>
      <c r="E8" s="9" t="inlineStr"/>
      <c r="F8" s="9" t="inlineStr"/>
      <c r="G8" s="9" t="inlineStr"/>
      <c r="H8" s="9" t="inlineStr">
        <is>
          <t>POLLO - AVICOLA LUJAN</t>
        </is>
      </c>
    </row>
    <row r="9">
      <c r="A9" s="9" t="inlineStr">
        <is>
          <t>Suprema pollo</t>
        </is>
      </c>
      <c r="B9" s="12" t="n">
        <v>10595</v>
      </c>
      <c r="C9" s="9" t="inlineStr">
        <is>
          <t>$/kg</t>
        </is>
      </c>
      <c r="D9" s="12" t="n">
        <v>7416</v>
      </c>
      <c r="E9" s="9" t="inlineStr"/>
      <c r="F9" s="9" t="inlineStr"/>
      <c r="G9" s="9" t="inlineStr"/>
      <c r="H9" s="9" t="inlineStr">
        <is>
          <t>POLLO - SUPREMA</t>
        </is>
      </c>
    </row>
    <row r="10">
      <c r="A10" s="9" t="inlineStr">
        <is>
          <t>Pernil chancho cong.</t>
        </is>
      </c>
      <c r="B10" s="12" t="n">
        <v>4500</v>
      </c>
      <c r="C10" s="9" t="inlineStr">
        <is>
          <t>$/kg</t>
        </is>
      </c>
      <c r="D10" s="12" t="n">
        <v>3150</v>
      </c>
      <c r="E10" s="9" t="inlineStr"/>
      <c r="F10" s="9" t="inlineStr"/>
      <c r="G10" s="9" t="inlineStr"/>
      <c r="H10" s="9" t="inlineStr">
        <is>
          <t>CONGELADOS - PERNIL CHANCHO</t>
        </is>
      </c>
    </row>
    <row r="11">
      <c r="A11" s="9" t="inlineStr">
        <is>
          <t>Lengua vacuna</t>
        </is>
      </c>
      <c r="B11" s="12" t="n">
        <v>10150</v>
      </c>
      <c r="C11" s="9" t="inlineStr">
        <is>
          <t>$/kg</t>
        </is>
      </c>
      <c r="D11" s="12" t="n">
        <v>7105</v>
      </c>
      <c r="E11" s="9" t="inlineStr"/>
      <c r="F11" s="9" t="inlineStr"/>
      <c r="G11" s="9" t="inlineStr"/>
      <c r="H11" s="9" t="inlineStr">
        <is>
          <t>CARNICERIA - LENGUA X KG</t>
        </is>
      </c>
    </row>
    <row r="12">
      <c r="A12" s="9" t="inlineStr">
        <is>
          <t>Nalga/bola lomo</t>
        </is>
      </c>
      <c r="B12" s="12" t="n">
        <v>13400</v>
      </c>
      <c r="C12" s="9" t="inlineStr">
        <is>
          <t>$/kg</t>
        </is>
      </c>
      <c r="D12" s="12" t="n">
        <v>9380</v>
      </c>
      <c r="E12" s="9" t="inlineStr"/>
      <c r="F12" s="9" t="inlineStr"/>
      <c r="G12" s="9" t="inlineStr"/>
      <c r="H12" s="9" t="inlineStr">
        <is>
          <t>CARNICERIA - NALGA/BOLA LOMO</t>
        </is>
      </c>
    </row>
    <row r="13">
      <c r="A13" s="9" t="inlineStr">
        <is>
          <t>Jamon cocido</t>
        </is>
      </c>
      <c r="B13" s="12" t="n">
        <v>18525</v>
      </c>
      <c r="C13" s="9" t="inlineStr">
        <is>
          <t>$/kg</t>
        </is>
      </c>
      <c r="D13" s="12" t="n">
        <v>12968</v>
      </c>
      <c r="E13" s="9" t="inlineStr"/>
      <c r="F13" s="9" t="inlineStr"/>
      <c r="G13" s="9" t="inlineStr"/>
      <c r="H13" s="9" t="inlineStr">
        <is>
          <t>FIAMBRERIA - PALADINI</t>
        </is>
      </c>
    </row>
    <row r="14">
      <c r="A14" s="9" t="inlineStr">
        <is>
          <t>Muzzarella horma</t>
        </is>
      </c>
      <c r="B14" s="12" t="n">
        <v>7300</v>
      </c>
      <c r="C14" s="9" t="inlineStr">
        <is>
          <t>$/kg</t>
        </is>
      </c>
      <c r="D14" s="12" t="n">
        <v>5110</v>
      </c>
      <c r="E14" s="9" t="inlineStr"/>
      <c r="F14" s="9" t="inlineStr"/>
      <c r="G14" s="9" t="inlineStr"/>
      <c r="H14" s="9" t="inlineStr">
        <is>
          <t>FIAMBRERIA - JUMIAL HORMA</t>
        </is>
      </c>
    </row>
    <row r="15">
      <c r="A15" s="9" t="inlineStr">
        <is>
          <t>Tapas empanada x12</t>
        </is>
      </c>
      <c r="B15" s="12" t="n">
        <v>1300</v>
      </c>
      <c r="C15" s="9" t="inlineStr">
        <is>
          <t>$/doc</t>
        </is>
      </c>
      <c r="D15" s="12" t="n">
        <v>910</v>
      </c>
      <c r="E15" s="9" t="inlineStr"/>
      <c r="F15" s="9" t="inlineStr"/>
      <c r="G15" s="9" t="inlineStr"/>
      <c r="H15" s="9" t="inlineStr">
        <is>
          <t>PANIFIC. - promedio 3 marcas</t>
        </is>
      </c>
    </row>
    <row r="16">
      <c r="A16" s="9" t="inlineStr">
        <is>
          <t>Tapas miga x50</t>
        </is>
      </c>
      <c r="B16" s="12" t="n">
        <v>15360</v>
      </c>
      <c r="C16" s="9" t="inlineStr">
        <is>
          <t>$/pack</t>
        </is>
      </c>
      <c r="D16" s="12" t="n">
        <v>10752</v>
      </c>
      <c r="E16" s="9" t="inlineStr"/>
      <c r="F16" s="9" t="inlineStr"/>
      <c r="G16" s="9" t="inlineStr"/>
      <c r="H16" s="9" t="inlineStr">
        <is>
          <t>PANIFIC. - LA ESPAÑOLA</t>
        </is>
      </c>
    </row>
    <row r="17">
      <c r="A17" s="9" t="inlineStr">
        <is>
          <t>Harina 0000</t>
        </is>
      </c>
      <c r="B17" s="12" t="n">
        <v>980</v>
      </c>
      <c r="C17" s="9" t="inlineStr">
        <is>
          <t>$/kg</t>
        </is>
      </c>
      <c r="D17" s="12" t="n">
        <v>686</v>
      </c>
      <c r="E17" s="9" t="inlineStr"/>
      <c r="F17" s="9" t="inlineStr"/>
      <c r="G17" s="9" t="inlineStr"/>
      <c r="H17" s="9" t="inlineStr">
        <is>
          <t>HARINAS - FLORENCIA</t>
        </is>
      </c>
    </row>
    <row r="18">
      <c r="A18" s="9" t="inlineStr">
        <is>
          <t>Huevos x6</t>
        </is>
      </c>
      <c r="B18" s="12" t="n">
        <v>1750</v>
      </c>
      <c r="C18" s="9" t="inlineStr">
        <is>
          <t>$/pack</t>
        </is>
      </c>
      <c r="D18" s="12" t="n">
        <v>1225</v>
      </c>
      <c r="E18" s="9" t="inlineStr"/>
      <c r="F18" s="9" t="inlineStr"/>
      <c r="G18" s="9" t="inlineStr"/>
      <c r="H18" s="9" t="inlineStr">
        <is>
          <t>HUEVOS FRESCOS</t>
        </is>
      </c>
    </row>
    <row r="19">
      <c r="A19" s="9" t="inlineStr">
        <is>
          <t>Pan rallado</t>
        </is>
      </c>
      <c r="B19" s="12" t="n">
        <v>3130</v>
      </c>
      <c r="C19" s="9" t="inlineStr">
        <is>
          <t>$/kg</t>
        </is>
      </c>
      <c r="D19" s="12" t="n">
        <v>2191</v>
      </c>
      <c r="E19" s="9" t="inlineStr"/>
      <c r="F19" s="9" t="inlineStr"/>
      <c r="G19" s="9" t="inlineStr"/>
      <c r="H19" s="9" t="inlineStr">
        <is>
          <t>ALMACEN - PAN RALLADO NINO</t>
        </is>
      </c>
    </row>
    <row r="20">
      <c r="A20" s="9" t="inlineStr">
        <is>
          <t>Aceite girasol 900ml</t>
        </is>
      </c>
      <c r="B20" s="12" t="n">
        <v>2750</v>
      </c>
      <c r="C20" s="9" t="inlineStr">
        <is>
          <t>$/u</t>
        </is>
      </c>
      <c r="D20" s="12" t="n">
        <v>1925</v>
      </c>
      <c r="E20" s="9" t="inlineStr"/>
      <c r="F20" s="9" t="inlineStr"/>
      <c r="G20" s="9" t="inlineStr"/>
      <c r="H20" s="9" t="inlineStr">
        <is>
          <t>1RA NECESIDAD - NATURA</t>
        </is>
      </c>
    </row>
    <row r="21">
      <c r="A21" s="9" t="inlineStr">
        <is>
          <t>Puré tomate 520g</t>
        </is>
      </c>
      <c r="B21" s="12" t="n">
        <v>785</v>
      </c>
      <c r="C21" s="9" t="inlineStr">
        <is>
          <t>$/u</t>
        </is>
      </c>
      <c r="D21" s="12" t="n">
        <v>550</v>
      </c>
      <c r="E21" s="9" t="inlineStr"/>
      <c r="F21" s="9" t="inlineStr"/>
      <c r="G21" s="9" t="inlineStr"/>
      <c r="H21" s="9" t="inlineStr">
        <is>
          <t>ALMACEN - ARCOR</t>
        </is>
      </c>
    </row>
    <row r="23">
      <c r="A23" s="3" t="inlineStr">
        <is>
          <t>COSTEO POR RECETA</t>
        </is>
      </c>
    </row>
    <row r="24">
      <c r="A24" s="4" t="inlineStr">
        <is>
          <t>Producto / Insumo</t>
        </is>
      </c>
      <c r="B24" s="4" t="inlineStr">
        <is>
          <t>Cantidad</t>
        </is>
      </c>
      <c r="C24" s="4" t="inlineStr">
        <is>
          <t>Unidad</t>
        </is>
      </c>
      <c r="D24" s="4" t="inlineStr">
        <is>
          <t>Precio Retail</t>
        </is>
      </c>
      <c r="E24" s="4" t="inlineStr">
        <is>
          <t>Costo (×0.70)</t>
        </is>
      </c>
      <c r="F24" s="4" t="inlineStr">
        <is>
          <t>PVP</t>
        </is>
      </c>
      <c r="G24" s="4" t="inlineStr">
        <is>
          <t>Margen %</t>
        </is>
      </c>
      <c r="H24" s="4" t="inlineStr">
        <is>
          <t>% Ventas rotis.</t>
        </is>
      </c>
    </row>
    <row r="25">
      <c r="A25" s="27" t="inlineStr">
        <is>
          <t>EMPANADA CARNE x12</t>
        </is>
      </c>
      <c r="B25" s="27" t="inlineStr"/>
      <c r="C25" s="27" t="inlineStr"/>
      <c r="D25" s="27" t="inlineStr"/>
      <c r="E25" s="27" t="inlineStr"/>
      <c r="F25" s="28" t="n">
        <v>8000</v>
      </c>
      <c r="G25" s="27" t="inlineStr"/>
      <c r="H25" s="27" t="inlineStr">
        <is>
          <t>49.8%</t>
        </is>
      </c>
    </row>
    <row r="26">
      <c r="A26" s="9" t="inlineStr">
        <is>
          <t xml:space="preserve">  Carne picada especial</t>
        </is>
      </c>
      <c r="B26" s="12" t="n">
        <v>0.35</v>
      </c>
      <c r="C26" s="9" t="inlineStr">
        <is>
          <t>kg</t>
        </is>
      </c>
      <c r="D26" s="12" t="n">
        <v>4270</v>
      </c>
      <c r="E26" s="12" t="n">
        <v>2989</v>
      </c>
      <c r="F26" s="9" t="inlineStr"/>
      <c r="G26" s="9" t="inlineStr"/>
      <c r="H26" s="9" t="inlineStr"/>
    </row>
    <row r="27">
      <c r="A27" s="9" t="inlineStr">
        <is>
          <t xml:space="preserve">  Tapas empanada x12</t>
        </is>
      </c>
      <c r="B27" s="29" t="n">
        <v>1</v>
      </c>
      <c r="C27" s="9" t="inlineStr">
        <is>
          <t>doc</t>
        </is>
      </c>
      <c r="D27" s="12" t="n">
        <v>1300</v>
      </c>
      <c r="E27" s="12" t="n">
        <v>910</v>
      </c>
      <c r="F27" s="9" t="inlineStr"/>
      <c r="G27" s="9" t="inlineStr"/>
      <c r="H27" s="9" t="inlineStr"/>
    </row>
    <row r="28">
      <c r="A28" s="9" t="inlineStr">
        <is>
          <t xml:space="preserve">  Cebolla</t>
        </is>
      </c>
      <c r="B28" s="12" t="n">
        <v>0.15</v>
      </c>
      <c r="C28" s="9" t="inlineStr">
        <is>
          <t>kg</t>
        </is>
      </c>
      <c r="D28" s="12" t="n">
        <v>225</v>
      </c>
      <c r="E28" s="12" t="n">
        <v>158</v>
      </c>
      <c r="F28" s="9" t="inlineStr"/>
      <c r="G28" s="9" t="inlineStr"/>
      <c r="H28" s="9" t="inlineStr"/>
    </row>
    <row r="29">
      <c r="A29" s="9" t="inlineStr">
        <is>
          <t xml:space="preserve">  Huevo (1/2)</t>
        </is>
      </c>
      <c r="B29" s="12" t="n">
        <v>0.5</v>
      </c>
      <c r="C29" s="9" t="inlineStr">
        <is>
          <t>u</t>
        </is>
      </c>
      <c r="D29" s="12" t="n">
        <v>146</v>
      </c>
      <c r="E29" s="12" t="n">
        <v>102</v>
      </c>
      <c r="F29" s="9" t="inlineStr"/>
      <c r="G29" s="9" t="inlineStr"/>
      <c r="H29" s="9" t="inlineStr"/>
    </row>
    <row r="30">
      <c r="A30" s="9" t="inlineStr">
        <is>
          <t xml:space="preserve">  Condimentos/grasa</t>
        </is>
      </c>
      <c r="B30" s="29" t="n">
        <v>1</v>
      </c>
      <c r="C30" s="9" t="inlineStr">
        <is>
          <t>lote</t>
        </is>
      </c>
      <c r="D30" s="12" t="n">
        <v>300</v>
      </c>
      <c r="E30" s="12" t="n">
        <v>210</v>
      </c>
      <c r="F30" s="9" t="inlineStr"/>
      <c r="G30" s="9" t="inlineStr"/>
      <c r="H30" s="9" t="inlineStr"/>
    </row>
    <row r="31">
      <c r="A31" s="7" t="inlineStr">
        <is>
          <t xml:space="preserve">  COSTO TOTAL</t>
        </is>
      </c>
      <c r="B31" s="7" t="inlineStr"/>
      <c r="C31" s="7" t="inlineStr"/>
      <c r="D31" s="7" t="inlineStr"/>
      <c r="E31" s="8" t="n">
        <v>4369</v>
      </c>
      <c r="F31" s="8" t="n">
        <v>8000</v>
      </c>
      <c r="G31" s="7" t="inlineStr">
        <is>
          <t>45%</t>
        </is>
      </c>
      <c r="H31" s="7" t="inlineStr"/>
    </row>
    <row r="32">
      <c r="A32" s="27" t="inlineStr">
        <is>
          <t>EMPANADA J&amp;Q x6</t>
        </is>
      </c>
      <c r="B32" s="27" t="inlineStr"/>
      <c r="C32" s="27" t="inlineStr"/>
      <c r="D32" s="27" t="inlineStr"/>
      <c r="E32" s="27" t="inlineStr"/>
      <c r="F32" s="28" t="n">
        <v>4058</v>
      </c>
      <c r="G32" s="27" t="inlineStr"/>
      <c r="H32" s="27" t="inlineStr">
        <is>
          <t>5.2%</t>
        </is>
      </c>
    </row>
    <row r="33">
      <c r="A33" s="9" t="inlineStr">
        <is>
          <t xml:space="preserve">  Jamon cocido</t>
        </is>
      </c>
      <c r="B33" s="12" t="n">
        <v>0.12</v>
      </c>
      <c r="C33" s="9" t="inlineStr">
        <is>
          <t>kg</t>
        </is>
      </c>
      <c r="D33" s="12" t="n">
        <v>2223</v>
      </c>
      <c r="E33" s="12" t="n">
        <v>1556</v>
      </c>
      <c r="F33" s="9" t="inlineStr"/>
      <c r="G33" s="9" t="inlineStr"/>
      <c r="H33" s="9" t="inlineStr"/>
    </row>
    <row r="34">
      <c r="A34" s="9" t="inlineStr">
        <is>
          <t xml:space="preserve">  Muzzarella</t>
        </is>
      </c>
      <c r="B34" s="12" t="n">
        <v>0.1</v>
      </c>
      <c r="C34" s="9" t="inlineStr">
        <is>
          <t>kg</t>
        </is>
      </c>
      <c r="D34" s="12" t="n">
        <v>730</v>
      </c>
      <c r="E34" s="12" t="n">
        <v>511</v>
      </c>
      <c r="F34" s="9" t="inlineStr"/>
      <c r="G34" s="9" t="inlineStr"/>
      <c r="H34" s="9" t="inlineStr"/>
    </row>
    <row r="35">
      <c r="A35" s="9" t="inlineStr">
        <is>
          <t xml:space="preserve">  Tapas empanada x6</t>
        </is>
      </c>
      <c r="B35" s="12" t="n">
        <v>0.5</v>
      </c>
      <c r="C35" s="9" t="inlineStr">
        <is>
          <t>doc</t>
        </is>
      </c>
      <c r="D35" s="12" t="n">
        <v>650</v>
      </c>
      <c r="E35" s="12" t="n">
        <v>455</v>
      </c>
      <c r="F35" s="9" t="inlineStr"/>
      <c r="G35" s="9" t="inlineStr"/>
      <c r="H35" s="9" t="inlineStr"/>
    </row>
    <row r="36">
      <c r="A36" s="9" t="inlineStr">
        <is>
          <t xml:space="preserve">  Condimentos</t>
        </is>
      </c>
      <c r="B36" s="29" t="n">
        <v>1</v>
      </c>
      <c r="C36" s="9" t="inlineStr">
        <is>
          <t>lote</t>
        </is>
      </c>
      <c r="D36" s="12" t="n">
        <v>150</v>
      </c>
      <c r="E36" s="12" t="n">
        <v>105</v>
      </c>
      <c r="F36" s="9" t="inlineStr"/>
      <c r="G36" s="9" t="inlineStr"/>
      <c r="H36" s="9" t="inlineStr"/>
    </row>
    <row r="37">
      <c r="A37" s="7" t="inlineStr">
        <is>
          <t xml:space="preserve">  COSTO TOTAL</t>
        </is>
      </c>
      <c r="B37" s="7" t="inlineStr"/>
      <c r="C37" s="7" t="inlineStr"/>
      <c r="D37" s="7" t="inlineStr"/>
      <c r="E37" s="8" t="n">
        <v>2627</v>
      </c>
      <c r="F37" s="8" t="n">
        <v>4058</v>
      </c>
      <c r="G37" s="7" t="inlineStr">
        <is>
          <t>35%</t>
        </is>
      </c>
      <c r="H37" s="7" t="inlineStr"/>
    </row>
    <row r="38">
      <c r="A38" s="27" t="inlineStr">
        <is>
          <t>MATAMBRE NINO (pieza)</t>
        </is>
      </c>
      <c r="B38" s="27" t="inlineStr"/>
      <c r="C38" s="27" t="inlineStr"/>
      <c r="D38" s="27" t="inlineStr"/>
      <c r="E38" s="27" t="inlineStr"/>
      <c r="F38" s="28" t="n">
        <v>38200</v>
      </c>
      <c r="G38" s="27" t="inlineStr"/>
      <c r="H38" s="27" t="inlineStr">
        <is>
          <t>13.9%</t>
        </is>
      </c>
    </row>
    <row r="39">
      <c r="A39" s="9" t="inlineStr">
        <is>
          <t xml:space="preserve">  Matambre vacuno crudo</t>
        </is>
      </c>
      <c r="B39" s="12" t="n">
        <v>1.8</v>
      </c>
      <c r="C39" s="9" t="inlineStr">
        <is>
          <t>kg</t>
        </is>
      </c>
      <c r="D39" s="12" t="n">
        <v>32436</v>
      </c>
      <c r="E39" s="12" t="n">
        <v>22705</v>
      </c>
      <c r="F39" s="9" t="inlineStr"/>
      <c r="G39" s="9" t="inlineStr"/>
      <c r="H39" s="9" t="inlineStr"/>
    </row>
    <row r="40">
      <c r="A40" s="9" t="inlineStr">
        <is>
          <t xml:space="preserve">  Condimentos/vinagre</t>
        </is>
      </c>
      <c r="B40" s="29" t="n">
        <v>1</v>
      </c>
      <c r="C40" s="9" t="inlineStr">
        <is>
          <t>lote</t>
        </is>
      </c>
      <c r="D40" s="12" t="n">
        <v>500</v>
      </c>
      <c r="E40" s="12" t="n">
        <v>350</v>
      </c>
      <c r="F40" s="9" t="inlineStr"/>
      <c r="G40" s="9" t="inlineStr"/>
      <c r="H40" s="9" t="inlineStr"/>
    </row>
    <row r="41">
      <c r="A41" s="7" t="inlineStr">
        <is>
          <t xml:space="preserve">  COSTO TOTAL</t>
        </is>
      </c>
      <c r="B41" s="7" t="inlineStr"/>
      <c r="C41" s="7" t="inlineStr"/>
      <c r="D41" s="7" t="inlineStr"/>
      <c r="E41" s="8" t="n">
        <v>23055</v>
      </c>
      <c r="F41" s="8" t="n">
        <v>38200</v>
      </c>
      <c r="G41" s="7" t="inlineStr">
        <is>
          <t>40%</t>
        </is>
      </c>
      <c r="H41" s="7" t="inlineStr"/>
    </row>
    <row r="42">
      <c r="A42" s="27" t="inlineStr">
        <is>
          <t>PIZZA MUZZARELLA</t>
        </is>
      </c>
      <c r="B42" s="27" t="inlineStr"/>
      <c r="C42" s="27" t="inlineStr"/>
      <c r="D42" s="27" t="inlineStr"/>
      <c r="E42" s="27" t="inlineStr"/>
      <c r="F42" s="28" t="n">
        <v>6900</v>
      </c>
      <c r="G42" s="27" t="inlineStr"/>
      <c r="H42" s="27" t="inlineStr">
        <is>
          <t>2.2%</t>
        </is>
      </c>
    </row>
    <row r="43">
      <c r="A43" s="9" t="inlineStr">
        <is>
          <t xml:space="preserve">  Harina 0000</t>
        </is>
      </c>
      <c r="B43" s="12" t="n">
        <v>0.25</v>
      </c>
      <c r="C43" s="9" t="inlineStr">
        <is>
          <t>kg</t>
        </is>
      </c>
      <c r="D43" s="12" t="n">
        <v>245</v>
      </c>
      <c r="E43" s="12" t="n">
        <v>172</v>
      </c>
      <c r="F43" s="9" t="inlineStr"/>
      <c r="G43" s="9" t="inlineStr"/>
      <c r="H43" s="9" t="inlineStr"/>
    </row>
    <row r="44">
      <c r="A44" s="9" t="inlineStr">
        <is>
          <t xml:space="preserve">  Muzzarella</t>
        </is>
      </c>
      <c r="B44" s="12" t="n">
        <v>0.2</v>
      </c>
      <c r="C44" s="9" t="inlineStr">
        <is>
          <t>kg</t>
        </is>
      </c>
      <c r="D44" s="12" t="n">
        <v>1460</v>
      </c>
      <c r="E44" s="12" t="n">
        <v>1022</v>
      </c>
      <c r="F44" s="9" t="inlineStr"/>
      <c r="G44" s="9" t="inlineStr"/>
      <c r="H44" s="9" t="inlineStr"/>
    </row>
    <row r="45">
      <c r="A45" s="9" t="inlineStr">
        <is>
          <t xml:space="preserve">  Salsa tomate</t>
        </is>
      </c>
      <c r="B45" s="12" t="n">
        <v>0.15</v>
      </c>
      <c r="C45" s="9" t="inlineStr">
        <is>
          <t>kg</t>
        </is>
      </c>
      <c r="D45" s="12" t="n">
        <v>226</v>
      </c>
      <c r="E45" s="12" t="n">
        <v>159</v>
      </c>
      <c r="F45" s="9" t="inlineStr"/>
      <c r="G45" s="9" t="inlineStr"/>
      <c r="H45" s="9" t="inlineStr"/>
    </row>
    <row r="46">
      <c r="A46" s="9" t="inlineStr">
        <is>
          <t xml:space="preserve">  Levadura/sal/aceite</t>
        </is>
      </c>
      <c r="B46" s="29" t="n">
        <v>1</v>
      </c>
      <c r="C46" s="9" t="inlineStr">
        <is>
          <t>lote</t>
        </is>
      </c>
      <c r="D46" s="12" t="n">
        <v>200</v>
      </c>
      <c r="E46" s="12" t="n">
        <v>140</v>
      </c>
      <c r="F46" s="9" t="inlineStr"/>
      <c r="G46" s="9" t="inlineStr"/>
      <c r="H46" s="9" t="inlineStr"/>
    </row>
    <row r="47">
      <c r="A47" s="7" t="inlineStr">
        <is>
          <t xml:space="preserve">  COSTO TOTAL</t>
        </is>
      </c>
      <c r="B47" s="7" t="inlineStr"/>
      <c r="C47" s="7" t="inlineStr"/>
      <c r="D47" s="7" t="inlineStr"/>
      <c r="E47" s="8" t="n">
        <v>1493</v>
      </c>
      <c r="F47" s="8" t="n">
        <v>6900</v>
      </c>
      <c r="G47" s="7" t="inlineStr">
        <is>
          <t>78%</t>
        </is>
      </c>
      <c r="H47" s="7" t="inlineStr"/>
    </row>
    <row r="48">
      <c r="A48" s="27" t="inlineStr">
        <is>
          <t>CANELONES CAR/VER (u)</t>
        </is>
      </c>
      <c r="B48" s="27" t="inlineStr"/>
      <c r="C48" s="27" t="inlineStr"/>
      <c r="D48" s="27" t="inlineStr"/>
      <c r="E48" s="27" t="inlineStr"/>
      <c r="F48" s="28" t="n">
        <v>10329</v>
      </c>
      <c r="G48" s="27" t="inlineStr"/>
      <c r="H48" s="27" t="inlineStr">
        <is>
          <t>2.2%</t>
        </is>
      </c>
    </row>
    <row r="49">
      <c r="A49" s="9" t="inlineStr">
        <is>
          <t xml:space="preserve">  Carne picada</t>
        </is>
      </c>
      <c r="B49" s="12" t="n">
        <v>0.15</v>
      </c>
      <c r="C49" s="9" t="inlineStr">
        <is>
          <t>kg</t>
        </is>
      </c>
      <c r="D49" s="12" t="n">
        <v>1830</v>
      </c>
      <c r="E49" s="12" t="n">
        <v>1281</v>
      </c>
      <c r="F49" s="9" t="inlineStr"/>
      <c r="G49" s="9" t="inlineStr"/>
      <c r="H49" s="9" t="inlineStr"/>
    </row>
    <row r="50">
      <c r="A50" s="9" t="inlineStr">
        <is>
          <t xml:space="preserve">  Tapas canelones/masa</t>
        </is>
      </c>
      <c r="B50" s="29" t="n">
        <v>1</v>
      </c>
      <c r="C50" s="9" t="inlineStr">
        <is>
          <t>u</t>
        </is>
      </c>
      <c r="D50" s="12" t="n">
        <v>800</v>
      </c>
      <c r="E50" s="12" t="n">
        <v>560</v>
      </c>
      <c r="F50" s="9" t="inlineStr"/>
      <c r="G50" s="9" t="inlineStr"/>
      <c r="H50" s="9" t="inlineStr"/>
    </row>
    <row r="51">
      <c r="A51" s="9" t="inlineStr">
        <is>
          <t xml:space="preserve">  Ricota/verdura</t>
        </is>
      </c>
      <c r="B51" s="12" t="n">
        <v>0.15</v>
      </c>
      <c r="C51" s="9" t="inlineStr">
        <is>
          <t>kg</t>
        </is>
      </c>
      <c r="D51" s="12" t="n">
        <v>982</v>
      </c>
      <c r="E51" s="12" t="n">
        <v>688</v>
      </c>
      <c r="F51" s="9" t="inlineStr"/>
      <c r="G51" s="9" t="inlineStr"/>
      <c r="H51" s="9" t="inlineStr"/>
    </row>
    <row r="52">
      <c r="A52" s="9" t="inlineStr">
        <is>
          <t xml:space="preserve">  Salsa tomate</t>
        </is>
      </c>
      <c r="B52" s="12" t="n">
        <v>0.2</v>
      </c>
      <c r="C52" s="9" t="inlineStr">
        <is>
          <t>kg</t>
        </is>
      </c>
      <c r="D52" s="12" t="n">
        <v>302</v>
      </c>
      <c r="E52" s="12" t="n">
        <v>211</v>
      </c>
      <c r="F52" s="9" t="inlineStr"/>
      <c r="G52" s="9" t="inlineStr"/>
      <c r="H52" s="9" t="inlineStr"/>
    </row>
    <row r="53">
      <c r="A53" s="9" t="inlineStr">
        <is>
          <t xml:space="preserve">  Muzzarella</t>
        </is>
      </c>
      <c r="B53" s="12" t="n">
        <v>0.08</v>
      </c>
      <c r="C53" s="9" t="inlineStr">
        <is>
          <t>kg</t>
        </is>
      </c>
      <c r="D53" s="12" t="n">
        <v>584</v>
      </c>
      <c r="E53" s="12" t="n">
        <v>409</v>
      </c>
      <c r="F53" s="9" t="inlineStr"/>
      <c r="G53" s="9" t="inlineStr"/>
      <c r="H53" s="9" t="inlineStr"/>
    </row>
    <row r="54">
      <c r="A54" s="7" t="inlineStr">
        <is>
          <t xml:space="preserve">  COSTO TOTAL</t>
        </is>
      </c>
      <c r="B54" s="7" t="inlineStr"/>
      <c r="C54" s="7" t="inlineStr"/>
      <c r="D54" s="7" t="inlineStr"/>
      <c r="E54" s="8" t="n">
        <v>3149</v>
      </c>
      <c r="F54" s="8" t="n">
        <v>10329</v>
      </c>
      <c r="G54" s="7" t="inlineStr">
        <is>
          <t>70%</t>
        </is>
      </c>
      <c r="H54" s="7" t="inlineStr"/>
    </row>
    <row r="55">
      <c r="A55" s="27" t="inlineStr">
        <is>
          <t>LENGUA VINAGRETA (pieza)</t>
        </is>
      </c>
      <c r="B55" s="27" t="inlineStr"/>
      <c r="C55" s="27" t="inlineStr"/>
      <c r="D55" s="27" t="inlineStr"/>
      <c r="E55" s="27" t="inlineStr"/>
      <c r="F55" s="28" t="n">
        <v>19000</v>
      </c>
      <c r="G55" s="27" t="inlineStr"/>
      <c r="H55" s="27" t="inlineStr">
        <is>
          <t>2.9%</t>
        </is>
      </c>
    </row>
    <row r="56">
      <c r="A56" s="9" t="inlineStr">
        <is>
          <t xml:space="preserve">  Lengua vacuna</t>
        </is>
      </c>
      <c r="B56" s="12" t="n">
        <v>1.5</v>
      </c>
      <c r="C56" s="9" t="inlineStr">
        <is>
          <t>kg</t>
        </is>
      </c>
      <c r="D56" s="12" t="n">
        <v>15225</v>
      </c>
      <c r="E56" s="12" t="n">
        <v>10658</v>
      </c>
      <c r="F56" s="9" t="inlineStr"/>
      <c r="G56" s="9" t="inlineStr"/>
      <c r="H56" s="9" t="inlineStr"/>
    </row>
    <row r="57">
      <c r="A57" s="9" t="inlineStr">
        <is>
          <t xml:space="preserve">  Vinagre/condimentos</t>
        </is>
      </c>
      <c r="B57" s="29" t="n">
        <v>1</v>
      </c>
      <c r="C57" s="9" t="inlineStr">
        <is>
          <t>lote</t>
        </is>
      </c>
      <c r="D57" s="12" t="n">
        <v>800</v>
      </c>
      <c r="E57" s="12" t="n">
        <v>560</v>
      </c>
      <c r="F57" s="9" t="inlineStr"/>
      <c r="G57" s="9" t="inlineStr"/>
      <c r="H57" s="9" t="inlineStr"/>
    </row>
    <row r="58">
      <c r="A58" s="7" t="inlineStr">
        <is>
          <t xml:space="preserve">  COSTO TOTAL</t>
        </is>
      </c>
      <c r="B58" s="7" t="inlineStr"/>
      <c r="C58" s="7" t="inlineStr"/>
      <c r="D58" s="7" t="inlineStr"/>
      <c r="E58" s="8" t="n">
        <v>11218</v>
      </c>
      <c r="F58" s="8" t="n">
        <v>19000</v>
      </c>
      <c r="G58" s="7" t="inlineStr">
        <is>
          <t>41%</t>
        </is>
      </c>
      <c r="H58" s="7" t="inlineStr"/>
    </row>
    <row r="59">
      <c r="A59" s="27" t="inlineStr">
        <is>
          <t>PERNIL CERDO (pieza)</t>
        </is>
      </c>
      <c r="B59" s="27" t="inlineStr"/>
      <c r="C59" s="27" t="inlineStr"/>
      <c r="D59" s="27" t="inlineStr"/>
      <c r="E59" s="27" t="inlineStr"/>
      <c r="F59" s="28" t="n">
        <v>20477</v>
      </c>
      <c r="G59" s="27" t="inlineStr"/>
      <c r="H59" s="27" t="inlineStr">
        <is>
          <t>2.4%</t>
        </is>
      </c>
    </row>
    <row r="60">
      <c r="A60" s="9" t="inlineStr">
        <is>
          <t xml:space="preserve">  Pernil chancho congelado</t>
        </is>
      </c>
      <c r="B60" s="12" t="n">
        <v>3</v>
      </c>
      <c r="C60" s="9" t="inlineStr">
        <is>
          <t>kg</t>
        </is>
      </c>
      <c r="D60" s="12" t="n">
        <v>13500</v>
      </c>
      <c r="E60" s="12" t="n">
        <v>9450</v>
      </c>
      <c r="F60" s="9" t="inlineStr"/>
      <c r="G60" s="9" t="inlineStr"/>
      <c r="H60" s="9" t="inlineStr"/>
    </row>
    <row r="61">
      <c r="A61" s="9" t="inlineStr">
        <is>
          <t xml:space="preserve">  Condimentos/adobo</t>
        </is>
      </c>
      <c r="B61" s="29" t="n">
        <v>1</v>
      </c>
      <c r="C61" s="9" t="inlineStr">
        <is>
          <t>lote</t>
        </is>
      </c>
      <c r="D61" s="12" t="n">
        <v>800</v>
      </c>
      <c r="E61" s="12" t="n">
        <v>560</v>
      </c>
      <c r="F61" s="9" t="inlineStr"/>
      <c r="G61" s="9" t="inlineStr"/>
      <c r="H61" s="9" t="inlineStr"/>
    </row>
    <row r="62">
      <c r="A62" s="7" t="inlineStr">
        <is>
          <t xml:space="preserve">  COSTO TOTAL</t>
        </is>
      </c>
      <c r="B62" s="7" t="inlineStr"/>
      <c r="C62" s="7" t="inlineStr"/>
      <c r="D62" s="7" t="inlineStr"/>
      <c r="E62" s="8" t="n">
        <v>10010</v>
      </c>
      <c r="F62" s="8" t="n">
        <v>20477</v>
      </c>
      <c r="G62" s="7" t="inlineStr">
        <is>
          <t>51%</t>
        </is>
      </c>
      <c r="H62" s="7" t="inlineStr"/>
    </row>
    <row r="63">
      <c r="A63" s="27" t="inlineStr">
        <is>
          <t>ARROLLADO POLLO (pieza)</t>
        </is>
      </c>
      <c r="B63" s="27" t="inlineStr"/>
      <c r="C63" s="27" t="inlineStr"/>
      <c r="D63" s="27" t="inlineStr"/>
      <c r="E63" s="27" t="inlineStr"/>
      <c r="F63" s="28" t="n">
        <v>22461</v>
      </c>
      <c r="G63" s="27" t="inlineStr"/>
      <c r="H63" s="27" t="inlineStr">
        <is>
          <t>2.4%</t>
        </is>
      </c>
    </row>
    <row r="64">
      <c r="A64" s="9" t="inlineStr">
        <is>
          <t xml:space="preserve">  Suprema pollo</t>
        </is>
      </c>
      <c r="B64" s="12" t="n">
        <v>1</v>
      </c>
      <c r="C64" s="9" t="inlineStr">
        <is>
          <t>kg</t>
        </is>
      </c>
      <c r="D64" s="12" t="n">
        <v>10595</v>
      </c>
      <c r="E64" s="12" t="n">
        <v>7416</v>
      </c>
      <c r="F64" s="9" t="inlineStr"/>
      <c r="G64" s="9" t="inlineStr"/>
      <c r="H64" s="9" t="inlineStr"/>
    </row>
    <row r="65">
      <c r="A65" s="9" t="inlineStr">
        <is>
          <t xml:space="preserve">  Jamon/queso relleno</t>
        </is>
      </c>
      <c r="B65" s="12" t="n">
        <v>0.15</v>
      </c>
      <c r="C65" s="9" t="inlineStr">
        <is>
          <t>kg</t>
        </is>
      </c>
      <c r="D65" s="12" t="n">
        <v>2779</v>
      </c>
      <c r="E65" s="12" t="n">
        <v>1945</v>
      </c>
      <c r="F65" s="9" t="inlineStr"/>
      <c r="G65" s="9" t="inlineStr"/>
      <c r="H65" s="9" t="inlineStr"/>
    </row>
    <row r="66">
      <c r="A66" s="9" t="inlineStr">
        <is>
          <t xml:space="preserve">  Condimentos</t>
        </is>
      </c>
      <c r="B66" s="29" t="n">
        <v>1</v>
      </c>
      <c r="C66" s="9" t="inlineStr">
        <is>
          <t>lote</t>
        </is>
      </c>
      <c r="D66" s="12" t="n">
        <v>400</v>
      </c>
      <c r="E66" s="12" t="n">
        <v>280</v>
      </c>
      <c r="F66" s="9" t="inlineStr"/>
      <c r="G66" s="9" t="inlineStr"/>
      <c r="H66" s="9" t="inlineStr"/>
    </row>
    <row r="67">
      <c r="A67" s="7" t="inlineStr">
        <is>
          <t xml:space="preserve">  COSTO TOTAL</t>
        </is>
      </c>
      <c r="B67" s="7" t="inlineStr"/>
      <c r="C67" s="7" t="inlineStr"/>
      <c r="D67" s="7" t="inlineStr"/>
      <c r="E67" s="8" t="n">
        <v>9641</v>
      </c>
      <c r="F67" s="8" t="n">
        <v>22461</v>
      </c>
      <c r="G67" s="7" t="inlineStr">
        <is>
          <t>57%</t>
        </is>
      </c>
      <c r="H67" s="7" t="inlineStr"/>
    </row>
    <row r="68">
      <c r="A68" s="27" t="inlineStr">
        <is>
          <t>MILANESA MIGA x12</t>
        </is>
      </c>
      <c r="B68" s="27" t="inlineStr"/>
      <c r="C68" s="27" t="inlineStr"/>
      <c r="D68" s="27" t="inlineStr"/>
      <c r="E68" s="27" t="inlineStr"/>
      <c r="F68" s="28" t="n">
        <v>8304</v>
      </c>
      <c r="G68" s="27" t="inlineStr"/>
      <c r="H68" s="27" t="inlineStr">
        <is>
          <t>2.6%</t>
        </is>
      </c>
    </row>
    <row r="69">
      <c r="A69" s="9" t="inlineStr">
        <is>
          <t xml:space="preserve">  Nalga/bola lomo</t>
        </is>
      </c>
      <c r="B69" s="12" t="n">
        <v>0.8</v>
      </c>
      <c r="C69" s="9" t="inlineStr">
        <is>
          <t>kg</t>
        </is>
      </c>
      <c r="D69" s="12" t="n">
        <v>10720</v>
      </c>
      <c r="E69" s="12" t="n">
        <v>7504</v>
      </c>
      <c r="F69" s="9" t="inlineStr"/>
      <c r="G69" s="9" t="inlineStr"/>
      <c r="H69" s="9" t="inlineStr"/>
    </row>
    <row r="70">
      <c r="A70" s="9" t="inlineStr">
        <is>
          <t xml:space="preserve">  Pan rallado</t>
        </is>
      </c>
      <c r="B70" s="12" t="n">
        <v>0.15</v>
      </c>
      <c r="C70" s="9" t="inlineStr">
        <is>
          <t>kg</t>
        </is>
      </c>
      <c r="D70" s="12" t="n">
        <v>470</v>
      </c>
      <c r="E70" s="12" t="n">
        <v>329</v>
      </c>
      <c r="F70" s="9" t="inlineStr"/>
      <c r="G70" s="9" t="inlineStr"/>
      <c r="H70" s="9" t="inlineStr"/>
    </row>
    <row r="71">
      <c r="A71" s="9" t="inlineStr">
        <is>
          <t xml:space="preserve">  Huevos x2</t>
        </is>
      </c>
      <c r="B71" s="29" t="n">
        <v>2</v>
      </c>
      <c r="C71" s="9" t="inlineStr">
        <is>
          <t>u</t>
        </is>
      </c>
      <c r="D71" s="12" t="n">
        <v>584</v>
      </c>
      <c r="E71" s="12" t="n">
        <v>409</v>
      </c>
      <c r="F71" s="9" t="inlineStr"/>
      <c r="G71" s="9" t="inlineStr"/>
      <c r="H71" s="9" t="inlineStr"/>
    </row>
    <row r="72">
      <c r="A72" s="9" t="inlineStr">
        <is>
          <t xml:space="preserve">  Tapas miga x12</t>
        </is>
      </c>
      <c r="B72" s="12" t="n">
        <v>0.24</v>
      </c>
      <c r="C72" s="9" t="inlineStr">
        <is>
          <t>pack50</t>
        </is>
      </c>
      <c r="D72" s="12" t="n">
        <v>3686</v>
      </c>
      <c r="E72" s="12" t="n">
        <v>2580</v>
      </c>
      <c r="F72" s="9" t="inlineStr"/>
      <c r="G72" s="9" t="inlineStr"/>
      <c r="H72" s="9" t="inlineStr"/>
    </row>
    <row r="73">
      <c r="A73" s="10" t="inlineStr">
        <is>
          <t xml:space="preserve">  COSTO TOTAL</t>
        </is>
      </c>
      <c r="B73" s="10" t="inlineStr"/>
      <c r="C73" s="10" t="inlineStr"/>
      <c r="D73" s="10" t="inlineStr"/>
      <c r="E73" s="11" t="n">
        <v>10822</v>
      </c>
      <c r="F73" s="11" t="n">
        <v>8304</v>
      </c>
      <c r="G73" s="10" t="inlineStr">
        <is>
          <t>-30%</t>
        </is>
      </c>
      <c r="H73" s="10" t="inlineStr"/>
    </row>
    <row r="74">
      <c r="A74" s="27" t="inlineStr">
        <is>
          <t>SALSA BOLOGNESA (u)</t>
        </is>
      </c>
      <c r="B74" s="27" t="inlineStr"/>
      <c r="C74" s="27" t="inlineStr"/>
      <c r="D74" s="27" t="inlineStr"/>
      <c r="E74" s="27" t="inlineStr"/>
      <c r="F74" s="28" t="n">
        <v>6850</v>
      </c>
      <c r="G74" s="27" t="inlineStr"/>
      <c r="H74" s="27" t="inlineStr">
        <is>
          <t>2.2%</t>
        </is>
      </c>
    </row>
    <row r="75">
      <c r="A75" s="9" t="inlineStr">
        <is>
          <t xml:space="preserve">  Carne picada</t>
        </is>
      </c>
      <c r="B75" s="12" t="n">
        <v>0.3</v>
      </c>
      <c r="C75" s="9" t="inlineStr">
        <is>
          <t>kg</t>
        </is>
      </c>
      <c r="D75" s="12" t="n">
        <v>3660</v>
      </c>
      <c r="E75" s="12" t="n">
        <v>2562</v>
      </c>
      <c r="F75" s="9" t="inlineStr"/>
      <c r="G75" s="9" t="inlineStr"/>
      <c r="H75" s="9" t="inlineStr"/>
    </row>
    <row r="76">
      <c r="A76" s="9" t="inlineStr">
        <is>
          <t xml:space="preserve">  Tomate triturado</t>
        </is>
      </c>
      <c r="B76" s="12" t="n">
        <v>0.5</v>
      </c>
      <c r="C76" s="9" t="inlineStr">
        <is>
          <t>kg</t>
        </is>
      </c>
      <c r="D76" s="12" t="n">
        <v>755</v>
      </c>
      <c r="E76" s="12" t="n">
        <v>528</v>
      </c>
      <c r="F76" s="9" t="inlineStr"/>
      <c r="G76" s="9" t="inlineStr"/>
      <c r="H76" s="9" t="inlineStr"/>
    </row>
    <row r="77">
      <c r="A77" s="9" t="inlineStr">
        <is>
          <t xml:space="preserve">  Cebolla/condimentos</t>
        </is>
      </c>
      <c r="B77" s="29" t="n">
        <v>1</v>
      </c>
      <c r="C77" s="9" t="inlineStr">
        <is>
          <t>lote</t>
        </is>
      </c>
      <c r="D77" s="12" t="n">
        <v>400</v>
      </c>
      <c r="E77" s="12" t="n">
        <v>280</v>
      </c>
      <c r="F77" s="9" t="inlineStr"/>
      <c r="G77" s="9" t="inlineStr"/>
      <c r="H77" s="9" t="inlineStr"/>
    </row>
    <row r="78">
      <c r="A78" s="7" t="inlineStr">
        <is>
          <t xml:space="preserve">  COSTO TOTAL</t>
        </is>
      </c>
      <c r="B78" s="7" t="inlineStr"/>
      <c r="C78" s="7" t="inlineStr"/>
      <c r="D78" s="7" t="inlineStr"/>
      <c r="E78" s="8" t="n">
        <v>3370</v>
      </c>
      <c r="F78" s="8" t="n">
        <v>6850</v>
      </c>
      <c r="G78" s="7" t="inlineStr">
        <is>
          <t>51%</t>
        </is>
      </c>
      <c r="H78" s="7" t="inlineStr"/>
    </row>
    <row r="80">
      <c r="A80" s="7" t="inlineStr">
        <is>
          <t>MARGEN PONDERADO (estos productos)</t>
        </is>
      </c>
      <c r="B80" s="7" t="inlineStr"/>
      <c r="C80" s="7" t="inlineStr"/>
      <c r="D80" s="7" t="inlineStr"/>
      <c r="E80" s="7" t="inlineStr"/>
      <c r="F80" s="7" t="inlineStr"/>
      <c r="G80" s="7" t="inlineStr">
        <is>
          <t>37.3%</t>
        </is>
      </c>
      <c r="H80" s="7" t="inlineStr"/>
    </row>
    <row r="81">
      <c r="A81" s="18" t="inlineStr">
        <is>
          <t>Margen asumido en estructura de costos</t>
        </is>
      </c>
      <c r="B81" s="18" t="inlineStr"/>
      <c r="C81" s="18" t="inlineStr"/>
      <c r="D81" s="18" t="inlineStr"/>
      <c r="E81" s="18" t="inlineStr"/>
      <c r="F81" s="18" t="inlineStr"/>
      <c r="G81" s="18" t="inlineStr">
        <is>
          <t>30.0%</t>
        </is>
      </c>
      <c r="H81" s="18" t="inlineStr"/>
    </row>
    <row r="82">
      <c r="A82" s="2" t="inlineStr">
        <is>
          <t xml:space="preserve">  Factor costo 0.70 = precio retail del super × 70% (margen tipico supermercado ~30%). Ajustar si se conoce el costo real.</t>
        </is>
      </c>
    </row>
    <row r="83">
      <c r="A83" s="2" t="inlineStr">
        <is>
          <t xml:space="preserve">  Verde = margen &gt;25% | Amarillo = margen 0-25% | Rojo = margen negativo (vende a perdida)</t>
        </is>
      </c>
    </row>
  </sheetData>
  <mergeCells count="6">
    <mergeCell ref="A4:H4"/>
    <mergeCell ref="A83:H83"/>
    <mergeCell ref="A2:H2"/>
    <mergeCell ref="A82:H82"/>
    <mergeCell ref="A1:H1"/>
    <mergeCell ref="A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16" customWidth="1" min="5" max="5"/>
    <col width="14" customWidth="1" min="6" max="6"/>
  </cols>
  <sheetData>
    <row r="1">
      <c r="A1" s="1" t="inlineStr">
        <is>
          <t>ANALISIS DE SENSIBILIDAD - MARGEN DE CONTRIBUCION</t>
        </is>
      </c>
    </row>
    <row r="3">
      <c r="A3" s="30" t="inlineStr">
        <is>
          <t>Escenarios variando Margen Bruto y Merma:</t>
        </is>
      </c>
    </row>
    <row r="5">
      <c r="A5" s="4" t="inlineStr">
        <is>
          <t>Escenario</t>
        </is>
      </c>
      <c r="B5" s="4" t="inlineStr">
        <is>
          <t>Margen Bruto %</t>
        </is>
      </c>
      <c r="C5" s="4" t="inlineStr">
        <is>
          <t>Merma %</t>
        </is>
      </c>
      <c r="D5" s="4" t="inlineStr">
        <is>
          <t>Margen Contrib ($)</t>
        </is>
      </c>
      <c r="E5" s="4" t="inlineStr">
        <is>
          <t>MC % s/Ventas</t>
        </is>
      </c>
      <c r="F5" s="4" t="inlineStr">
        <is>
          <t>Estado</t>
        </is>
      </c>
    </row>
    <row r="6">
      <c r="A6" s="31" t="inlineStr">
        <is>
          <t>Pesimista</t>
        </is>
      </c>
      <c r="B6" s="31" t="inlineStr">
        <is>
          <t>25%</t>
        </is>
      </c>
      <c r="C6" s="31" t="inlineStr">
        <is>
          <t>8%</t>
        </is>
      </c>
      <c r="D6" s="32" t="n">
        <v>-4219444</v>
      </c>
      <c r="E6" s="31" t="inlineStr">
        <is>
          <t>-38.2%</t>
        </is>
      </c>
      <c r="F6" s="31" t="inlineStr">
        <is>
          <t>DEFICIT</t>
        </is>
      </c>
    </row>
    <row r="7">
      <c r="A7" s="31" t="inlineStr">
        <is>
          <t>Conservador</t>
        </is>
      </c>
      <c r="B7" s="31" t="inlineStr">
        <is>
          <t>28%</t>
        </is>
      </c>
      <c r="C7" s="31" t="inlineStr">
        <is>
          <t>6%</t>
        </is>
      </c>
      <c r="D7" s="32" t="n">
        <v>-3666926</v>
      </c>
      <c r="E7" s="31" t="inlineStr">
        <is>
          <t>-33.2%</t>
        </is>
      </c>
      <c r="F7" s="31" t="inlineStr">
        <is>
          <t>DEFICIT</t>
        </is>
      </c>
    </row>
    <row r="8">
      <c r="A8" s="31" t="inlineStr">
        <is>
          <t>Base</t>
        </is>
      </c>
      <c r="B8" s="31" t="inlineStr">
        <is>
          <t>30%</t>
        </is>
      </c>
      <c r="C8" s="31" t="inlineStr">
        <is>
          <t>5%</t>
        </is>
      </c>
      <c r="D8" s="32" t="n">
        <v>-3335415</v>
      </c>
      <c r="E8" s="31" t="inlineStr">
        <is>
          <t>-30.2%</t>
        </is>
      </c>
      <c r="F8" s="31" t="inlineStr">
        <is>
          <t>DEFICIT</t>
        </is>
      </c>
    </row>
    <row r="9">
      <c r="A9" s="31" t="inlineStr">
        <is>
          <t>Optimista</t>
        </is>
      </c>
      <c r="B9" s="31" t="inlineStr">
        <is>
          <t>33%</t>
        </is>
      </c>
      <c r="C9" s="31" t="inlineStr">
        <is>
          <t>3%</t>
        </is>
      </c>
      <c r="D9" s="32" t="n">
        <v>-2782898</v>
      </c>
      <c r="E9" s="31" t="inlineStr">
        <is>
          <t>-25.2%</t>
        </is>
      </c>
      <c r="F9" s="31" t="inlineStr">
        <is>
          <t>DEFICIT</t>
        </is>
      </c>
    </row>
    <row r="10">
      <c r="A10" s="31" t="inlineStr">
        <is>
          <t>Ideal</t>
        </is>
      </c>
      <c r="B10" s="31" t="inlineStr">
        <is>
          <t>35%</t>
        </is>
      </c>
      <c r="C10" s="31" t="inlineStr">
        <is>
          <t>2%</t>
        </is>
      </c>
      <c r="D10" s="32" t="n">
        <v>-2451388</v>
      </c>
      <c r="E10" s="31" t="inlineStr">
        <is>
          <t>-22.2%</t>
        </is>
      </c>
      <c r="F10" s="31" t="inlineStr">
        <is>
          <t>DEFICIT</t>
        </is>
      </c>
    </row>
    <row r="13">
      <c r="A13" s="30" t="inlineStr">
        <is>
          <t>Punto de equilibrio por escenario:</t>
        </is>
      </c>
    </row>
    <row r="14">
      <c r="A14" s="4" t="inlineStr">
        <is>
          <t>Escenario</t>
        </is>
      </c>
      <c r="B14" s="4" t="inlineStr">
        <is>
          <t>Margen %</t>
        </is>
      </c>
      <c r="C14" s="4" t="inlineStr">
        <is>
          <t>Merma %</t>
        </is>
      </c>
      <c r="D14" s="4" t="inlineStr">
        <is>
          <t>Vtas Equilibrio ($)</t>
        </is>
      </c>
      <c r="E14" s="4" t="inlineStr">
        <is>
          <t>Cobertura %</t>
        </is>
      </c>
      <c r="F14" s="4" t="inlineStr">
        <is>
          <t>Estado</t>
        </is>
      </c>
    </row>
    <row r="15">
      <c r="A15" s="31" t="inlineStr">
        <is>
          <t>Pesimista</t>
        </is>
      </c>
      <c r="B15" s="31" t="inlineStr">
        <is>
          <t>25%</t>
        </is>
      </c>
      <c r="C15" s="31" t="inlineStr">
        <is>
          <t>8%</t>
        </is>
      </c>
      <c r="D15" s="32" t="n">
        <v>45501168</v>
      </c>
      <c r="E15" s="31" t="inlineStr">
        <is>
          <t>24%</t>
        </is>
      </c>
      <c r="F15" s="31" t="inlineStr">
        <is>
          <t>INSUFICIENTE</t>
        </is>
      </c>
    </row>
    <row r="16">
      <c r="A16" s="31" t="inlineStr">
        <is>
          <t>Conservador</t>
        </is>
      </c>
      <c r="B16" s="31" t="inlineStr">
        <is>
          <t>28%</t>
        </is>
      </c>
      <c r="C16" s="31" t="inlineStr">
        <is>
          <t>6%</t>
        </is>
      </c>
      <c r="D16" s="32" t="n">
        <v>32310686</v>
      </c>
      <c r="E16" s="31" t="inlineStr">
        <is>
          <t>34%</t>
        </is>
      </c>
      <c r="F16" s="31" t="inlineStr">
        <is>
          <t>INSUFICIENTE</t>
        </is>
      </c>
    </row>
    <row r="17">
      <c r="A17" s="31" t="inlineStr">
        <is>
          <t>Base</t>
        </is>
      </c>
      <c r="B17" s="31" t="inlineStr">
        <is>
          <t>30%</t>
        </is>
      </c>
      <c r="C17" s="31" t="inlineStr">
        <is>
          <t>5%</t>
        </is>
      </c>
      <c r="D17" s="32" t="n">
        <v>27523375</v>
      </c>
      <c r="E17" s="31" t="inlineStr">
        <is>
          <t>40%</t>
        </is>
      </c>
      <c r="F17" s="31" t="inlineStr">
        <is>
          <t>INSUFICIENTE</t>
        </is>
      </c>
    </row>
    <row r="18">
      <c r="A18" s="31" t="inlineStr">
        <is>
          <t>Optimista</t>
        </is>
      </c>
      <c r="B18" s="31" t="inlineStr">
        <is>
          <t>33%</t>
        </is>
      </c>
      <c r="C18" s="31" t="inlineStr">
        <is>
          <t>3%</t>
        </is>
      </c>
      <c r="D18" s="32" t="n">
        <v>22072712</v>
      </c>
      <c r="E18" s="31" t="inlineStr">
        <is>
          <t>50%</t>
        </is>
      </c>
      <c r="F18" s="31" t="inlineStr">
        <is>
          <t>INSUFICIENTE</t>
        </is>
      </c>
    </row>
    <row r="19">
      <c r="A19" s="31" t="inlineStr">
        <is>
          <t>Ideal</t>
        </is>
      </c>
      <c r="B19" s="31" t="inlineStr">
        <is>
          <t>35%</t>
        </is>
      </c>
      <c r="C19" s="31" t="inlineStr">
        <is>
          <t>2%</t>
        </is>
      </c>
      <c r="D19" s="32" t="n">
        <v>19728522</v>
      </c>
      <c r="E19" s="31" t="inlineStr">
        <is>
          <t>56%</t>
        </is>
      </c>
      <c r="F19" s="31" t="inlineStr">
        <is>
          <t>INSUFICIENTE</t>
        </is>
      </c>
    </row>
    <row r="22">
      <c r="A22" s="2" t="inlineStr">
        <is>
          <t xml:space="preserve">  NOTA: Si la empresa obtiene certificado MiPyME, las contribuciones bajan de 20.4% a 18% SUSS, mejorando todos los escenarios.</t>
        </is>
      </c>
    </row>
  </sheetData>
  <mergeCells count="2"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2026-03-23T19:39:24Z</dcterms:created>
  <dcterms:modified xmlns:dcterms="http://purl.org/dc/terms/" xmlns:xsi="http://www.w3.org/2001/XMLSchema-instance" xsi:type="dcterms:W3CDTF">2026-03-23T19:43:05Z</dcterms:modified>
</cp:coreProperties>
</file>